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<sst xmlns="http://schemas.openxmlformats.org/spreadsheetml/2006/main" count="2061" uniqueCount="573">
  <si>
    <t xml:space="preserve">Sales Performance Dashboard</t>
  </si>
  <si>
    <t xml:space="preserve">Superstore-style sales analysis  |  Pivot tables, charts &amp; conditional formatting in Excel</t>
  </si>
  <si>
    <t xml:space="preserve">Total Sales</t>
  </si>
  <si>
    <t xml:space="preserve">Total Profit</t>
  </si>
  <si>
    <t xml:space="preserve">Profit Margin</t>
  </si>
  <si>
    <t xml:space="preserve">Color scale legend: Green = high performer, Red = low performer / loss-making. See Data and Summary sheets for full conditional formatting.</t>
  </si>
  <si>
    <t xml:space="preserve">Order ID</t>
  </si>
  <si>
    <t xml:space="preserve">Order Date</t>
  </si>
  <si>
    <t xml:space="preserve">Region</t>
  </si>
  <si>
    <t xml:space="preserve">Category</t>
  </si>
  <si>
    <t xml:space="preserve">Sub-Category</t>
  </si>
  <si>
    <t xml:space="preserve">Sales</t>
  </si>
  <si>
    <t xml:space="preserve">Quantity</t>
  </si>
  <si>
    <t xml:space="preserve">Profit</t>
  </si>
  <si>
    <t xml:space="preserve">ORD-1197</t>
  </si>
  <si>
    <t xml:space="preserve">East</t>
  </si>
  <si>
    <t xml:space="preserve">Technology</t>
  </si>
  <si>
    <t xml:space="preserve">Copiers</t>
  </si>
  <si>
    <t xml:space="preserve">ORD-1478</t>
  </si>
  <si>
    <t xml:space="preserve">West</t>
  </si>
  <si>
    <t xml:space="preserve">Machines</t>
  </si>
  <si>
    <t xml:space="preserve">ORD-1221</t>
  </si>
  <si>
    <t xml:space="preserve">Office Supplies</t>
  </si>
  <si>
    <t xml:space="preserve">Art</t>
  </si>
  <si>
    <t xml:space="preserve">ORD-1133</t>
  </si>
  <si>
    <t xml:space="preserve">Paper</t>
  </si>
  <si>
    <t xml:space="preserve">ORD-1171</t>
  </si>
  <si>
    <t xml:space="preserve">Furniture</t>
  </si>
  <si>
    <t xml:space="preserve">Tables</t>
  </si>
  <si>
    <t xml:space="preserve">ORD-1131</t>
  </si>
  <si>
    <t xml:space="preserve">Storage</t>
  </si>
  <si>
    <t xml:space="preserve">ORD-1178</t>
  </si>
  <si>
    <t xml:space="preserve">Binders</t>
  </si>
  <si>
    <t xml:space="preserve">ORD-1395</t>
  </si>
  <si>
    <t xml:space="preserve">South</t>
  </si>
  <si>
    <t xml:space="preserve">ORD-1321</t>
  </si>
  <si>
    <t xml:space="preserve">ORD-1108</t>
  </si>
  <si>
    <t xml:space="preserve">ORD-1467</t>
  </si>
  <si>
    <t xml:space="preserve">ORD-1452</t>
  </si>
  <si>
    <t xml:space="preserve">Chairs</t>
  </si>
  <si>
    <t xml:space="preserve">ORD-1109</t>
  </si>
  <si>
    <t xml:space="preserve">Central</t>
  </si>
  <si>
    <t xml:space="preserve">ORD-1075</t>
  </si>
  <si>
    <t xml:space="preserve">ORD-1191</t>
  </si>
  <si>
    <t xml:space="preserve">ORD-1160</t>
  </si>
  <si>
    <t xml:space="preserve">Bookcases</t>
  </si>
  <si>
    <t xml:space="preserve">ORD-1290</t>
  </si>
  <si>
    <t xml:space="preserve">ORD-1435</t>
  </si>
  <si>
    <t xml:space="preserve">ORD-1050</t>
  </si>
  <si>
    <t xml:space="preserve">ORD-1079</t>
  </si>
  <si>
    <t xml:space="preserve">ORD-1456</t>
  </si>
  <si>
    <t xml:space="preserve">ORD-1187</t>
  </si>
  <si>
    <t xml:space="preserve">ORD-1430</t>
  </si>
  <si>
    <t xml:space="preserve">ORD-1143</t>
  </si>
  <si>
    <t xml:space="preserve">ORD-1274</t>
  </si>
  <si>
    <t xml:space="preserve">Furnishings</t>
  </si>
  <si>
    <t xml:space="preserve">ORD-1381</t>
  </si>
  <si>
    <t xml:space="preserve">ORD-1166</t>
  </si>
  <si>
    <t xml:space="preserve">Accessories</t>
  </si>
  <si>
    <t xml:space="preserve">ORD-1272</t>
  </si>
  <si>
    <t xml:space="preserve">ORD-1387</t>
  </si>
  <si>
    <t xml:space="preserve">ORD-1354</t>
  </si>
  <si>
    <t xml:space="preserve">ORD-1096</t>
  </si>
  <si>
    <t xml:space="preserve">ORD-1198</t>
  </si>
  <si>
    <t xml:space="preserve">ORD-1425</t>
  </si>
  <si>
    <t xml:space="preserve">ORD-1377</t>
  </si>
  <si>
    <t xml:space="preserve">ORD-1209</t>
  </si>
  <si>
    <t xml:space="preserve">ORD-1149</t>
  </si>
  <si>
    <t xml:space="preserve">ORD-1132</t>
  </si>
  <si>
    <t xml:space="preserve">ORD-1065</t>
  </si>
  <si>
    <t xml:space="preserve">ORD-1305</t>
  </si>
  <si>
    <t xml:space="preserve">Phones</t>
  </si>
  <si>
    <t xml:space="preserve">ORD-1032</t>
  </si>
  <si>
    <t xml:space="preserve">ORD-1087</t>
  </si>
  <si>
    <t xml:space="preserve">ORD-1222</t>
  </si>
  <si>
    <t xml:space="preserve">ORD-1098</t>
  </si>
  <si>
    <t xml:space="preserve">ORD-1281</t>
  </si>
  <si>
    <t xml:space="preserve">ORD-1459</t>
  </si>
  <si>
    <t xml:space="preserve">ORD-1413</t>
  </si>
  <si>
    <t xml:space="preserve">ORD-1245</t>
  </si>
  <si>
    <t xml:space="preserve">ORD-1001</t>
  </si>
  <si>
    <t xml:space="preserve">ORD-1169</t>
  </si>
  <si>
    <t xml:space="preserve">ORD-1336</t>
  </si>
  <si>
    <t xml:space="preserve">ORD-1432</t>
  </si>
  <si>
    <t xml:space="preserve">ORD-1283</t>
  </si>
  <si>
    <t xml:space="preserve">ORD-1220</t>
  </si>
  <si>
    <t xml:space="preserve">ORD-1244</t>
  </si>
  <si>
    <t xml:space="preserve">ORD-1489</t>
  </si>
  <si>
    <t xml:space="preserve">ORD-1476</t>
  </si>
  <si>
    <t xml:space="preserve">ORD-1039</t>
  </si>
  <si>
    <t xml:space="preserve">ORD-1228</t>
  </si>
  <si>
    <t xml:space="preserve">ORD-1463</t>
  </si>
  <si>
    <t xml:space="preserve">ORD-1008</t>
  </si>
  <si>
    <t xml:space="preserve">ORD-1436</t>
  </si>
  <si>
    <t xml:space="preserve">ORD-1420</t>
  </si>
  <si>
    <t xml:space="preserve">ORD-1358</t>
  </si>
  <si>
    <t xml:space="preserve">ORD-1239</t>
  </si>
  <si>
    <t xml:space="preserve">ORD-1072</t>
  </si>
  <si>
    <t xml:space="preserve">ORD-1480</t>
  </si>
  <si>
    <t xml:space="preserve">ORD-1460</t>
  </si>
  <si>
    <t xml:space="preserve">ORD-1086</t>
  </si>
  <si>
    <t xml:space="preserve">ORD-1494</t>
  </si>
  <si>
    <t xml:space="preserve">ORD-1440</t>
  </si>
  <si>
    <t xml:space="preserve">ORD-1492</t>
  </si>
  <si>
    <t xml:space="preserve">ORD-1019</t>
  </si>
  <si>
    <t xml:space="preserve">ORD-1147</t>
  </si>
  <si>
    <t xml:space="preserve">ORD-1025</t>
  </si>
  <si>
    <t xml:space="preserve">ORD-1345</t>
  </si>
  <si>
    <t xml:space="preserve">ORD-1400</t>
  </si>
  <si>
    <t xml:space="preserve">ORD-1472</t>
  </si>
  <si>
    <t xml:space="preserve">ORD-1331</t>
  </si>
  <si>
    <t xml:space="preserve">ORD-1388</t>
  </si>
  <si>
    <t xml:space="preserve">ORD-1195</t>
  </si>
  <si>
    <t xml:space="preserve">ORD-1010</t>
  </si>
  <si>
    <t xml:space="preserve">ORD-1311</t>
  </si>
  <si>
    <t xml:space="preserve">ORD-1243</t>
  </si>
  <si>
    <t xml:space="preserve">ORD-1185</t>
  </si>
  <si>
    <t xml:space="preserve">ORD-1037</t>
  </si>
  <si>
    <t xml:space="preserve">ORD-1451</t>
  </si>
  <si>
    <t xml:space="preserve">ORD-1113</t>
  </si>
  <si>
    <t xml:space="preserve">ORD-1017</t>
  </si>
  <si>
    <t xml:space="preserve">ORD-1012</t>
  </si>
  <si>
    <t xml:space="preserve">ORD-1455</t>
  </si>
  <si>
    <t xml:space="preserve">ORD-1318</t>
  </si>
  <si>
    <t xml:space="preserve">ORD-1278</t>
  </si>
  <si>
    <t xml:space="preserve">ORD-1298</t>
  </si>
  <si>
    <t xml:space="preserve">ORD-1421</t>
  </si>
  <si>
    <t xml:space="preserve">ORD-1364</t>
  </si>
  <si>
    <t xml:space="preserve">ORD-1095</t>
  </si>
  <si>
    <t xml:space="preserve">ORD-1059</t>
  </si>
  <si>
    <t xml:space="preserve">ORD-1360</t>
  </si>
  <si>
    <t xml:space="preserve">ORD-1118</t>
  </si>
  <si>
    <t xml:space="preserve">ORD-1412</t>
  </si>
  <si>
    <t xml:space="preserve">ORD-1068</t>
  </si>
  <si>
    <t xml:space="preserve">ORD-1286</t>
  </si>
  <si>
    <t xml:space="preserve">ORD-1123</t>
  </si>
  <si>
    <t xml:space="preserve">ORD-1474</t>
  </si>
  <si>
    <t xml:space="preserve">ORD-1170</t>
  </si>
  <si>
    <t xml:space="preserve">ORD-1404</t>
  </si>
  <si>
    <t xml:space="preserve">ORD-1353</t>
  </si>
  <si>
    <t xml:space="preserve">ORD-1320</t>
  </si>
  <si>
    <t xml:space="preserve">ORD-1066</t>
  </si>
  <si>
    <t xml:space="preserve">ORD-1241</t>
  </si>
  <si>
    <t xml:space="preserve">ORD-1061</t>
  </si>
  <si>
    <t xml:space="preserve">ORD-1428</t>
  </si>
  <si>
    <t xml:space="preserve">ORD-1276</t>
  </si>
  <si>
    <t xml:space="preserve">ORD-1370</t>
  </si>
  <si>
    <t xml:space="preserve">ORD-1260</t>
  </si>
  <si>
    <t xml:space="preserve">ORD-1444</t>
  </si>
  <si>
    <t xml:space="preserve">ORD-1317</t>
  </si>
  <si>
    <t xml:space="preserve">ORD-1104</t>
  </si>
  <si>
    <t xml:space="preserve">ORD-1048</t>
  </si>
  <si>
    <t xml:space="preserve">ORD-1415</t>
  </si>
  <si>
    <t xml:space="preserve">ORD-1497</t>
  </si>
  <si>
    <t xml:space="preserve">ORD-1246</t>
  </si>
  <si>
    <t xml:space="preserve">ORD-1238</t>
  </si>
  <si>
    <t xml:space="preserve">ORD-1486</t>
  </si>
  <si>
    <t xml:space="preserve">ORD-1121</t>
  </si>
  <si>
    <t xml:space="preserve">ORD-1279</t>
  </si>
  <si>
    <t xml:space="preserve">ORD-1182</t>
  </si>
  <si>
    <t xml:space="preserve">ORD-1485</t>
  </si>
  <si>
    <t xml:space="preserve">ORD-1192</t>
  </si>
  <si>
    <t xml:space="preserve">ORD-1399</t>
  </si>
  <si>
    <t xml:space="preserve">ORD-1385</t>
  </si>
  <si>
    <t xml:space="preserve">ORD-1174</t>
  </si>
  <si>
    <t xml:space="preserve">ORD-1103</t>
  </si>
  <si>
    <t xml:space="preserve">ORD-1073</t>
  </si>
  <si>
    <t xml:space="preserve">ORD-1181</t>
  </si>
  <si>
    <t xml:space="preserve">ORD-1496</t>
  </si>
  <si>
    <t xml:space="preserve">ORD-1029</t>
  </si>
  <si>
    <t xml:space="preserve">ORD-1194</t>
  </si>
  <si>
    <t xml:space="preserve">ORD-1112</t>
  </si>
  <si>
    <t xml:space="preserve">ORD-1261</t>
  </si>
  <si>
    <t xml:space="preserve">ORD-1443</t>
  </si>
  <si>
    <t xml:space="preserve">ORD-1275</t>
  </si>
  <si>
    <t xml:space="preserve">ORD-1057</t>
  </si>
  <si>
    <t xml:space="preserve">ORD-1470</t>
  </si>
  <si>
    <t xml:space="preserve">ORD-1322</t>
  </si>
  <si>
    <t xml:space="preserve">ORD-1389</t>
  </si>
  <si>
    <t xml:space="preserve">ORD-1196</t>
  </si>
  <si>
    <t xml:space="preserve">ORD-1134</t>
  </si>
  <si>
    <t xml:space="preserve">ORD-1177</t>
  </si>
  <si>
    <t xml:space="preserve">ORD-1257</t>
  </si>
  <si>
    <t xml:space="preserve">ORD-1105</t>
  </si>
  <si>
    <t xml:space="preserve">ORD-1309</t>
  </si>
  <si>
    <t xml:space="preserve">ORD-1172</t>
  </si>
  <si>
    <t xml:space="preserve">ORD-1213</t>
  </si>
  <si>
    <t xml:space="preserve">ORD-1234</t>
  </si>
  <si>
    <t xml:space="preserve">ORD-1023</t>
  </si>
  <si>
    <t xml:space="preserve">ORD-1402</t>
  </si>
  <si>
    <t xml:space="preserve">ORD-1084</t>
  </si>
  <si>
    <t xml:space="preserve">ORD-1069</t>
  </si>
  <si>
    <t xml:space="preserve">ORD-1251</t>
  </si>
  <si>
    <t xml:space="preserve">ORD-1335</t>
  </si>
  <si>
    <t xml:space="preserve">ORD-1183</t>
  </si>
  <si>
    <t xml:space="preserve">ORD-1258</t>
  </si>
  <si>
    <t xml:space="preserve">ORD-1035</t>
  </si>
  <si>
    <t xml:space="preserve">ORD-1217</t>
  </si>
  <si>
    <t xml:space="preserve">ORD-1031</t>
  </si>
  <si>
    <t xml:space="preserve">ORD-1424</t>
  </si>
  <si>
    <t xml:space="preserve">ORD-1223</t>
  </si>
  <si>
    <t xml:space="preserve">ORD-1441</t>
  </si>
  <si>
    <t xml:space="preserve">ORD-1063</t>
  </si>
  <si>
    <t xml:space="preserve">ORD-1434</t>
  </si>
  <si>
    <t xml:space="preserve">ORD-1141</t>
  </si>
  <si>
    <t xml:space="preserve">ORD-1188</t>
  </si>
  <si>
    <t xml:space="preserve">ORD-1268</t>
  </si>
  <si>
    <t xml:space="preserve">ORD-1349</t>
  </si>
  <si>
    <t xml:space="preserve">ORD-1347</t>
  </si>
  <si>
    <t xml:space="preserve">ORD-1146</t>
  </si>
  <si>
    <t xml:space="preserve">ORD-1397</t>
  </si>
  <si>
    <t xml:space="preserve">ORD-1493</t>
  </si>
  <si>
    <t xml:space="preserve">ORD-1351</t>
  </si>
  <si>
    <t xml:space="preserve">ORD-1307</t>
  </si>
  <si>
    <t xml:space="preserve">ORD-1091</t>
  </si>
  <si>
    <t xml:space="preserve">ORD-1269</t>
  </si>
  <si>
    <t xml:space="preserve">ORD-1058</t>
  </si>
  <si>
    <t xml:space="preserve">ORD-1021</t>
  </si>
  <si>
    <t xml:space="preserve">ORD-1411</t>
  </si>
  <si>
    <t xml:space="preserve">ORD-1150</t>
  </si>
  <si>
    <t xml:space="preserve">ORD-1030</t>
  </si>
  <si>
    <t xml:space="preserve">ORD-1371</t>
  </si>
  <si>
    <t xml:space="preserve">ORD-1255</t>
  </si>
  <si>
    <t xml:space="preserve">ORD-1252</t>
  </si>
  <si>
    <t xml:space="preserve">ORD-1089</t>
  </si>
  <si>
    <t xml:space="preserve">ORD-1064</t>
  </si>
  <si>
    <t xml:space="preserve">ORD-1292</t>
  </si>
  <si>
    <t xml:space="preserve">ORD-1236</t>
  </si>
  <si>
    <t xml:space="preserve">ORD-1319</t>
  </si>
  <si>
    <t xml:space="preserve">ORD-1310</t>
  </si>
  <si>
    <t xml:space="preserve">ORD-1465</t>
  </si>
  <si>
    <t xml:space="preserve">ORD-1028</t>
  </si>
  <si>
    <t xml:space="preserve">ORD-1203</t>
  </si>
  <si>
    <t xml:space="preserve">ORD-1003</t>
  </si>
  <si>
    <t xml:space="preserve">ORD-1491</t>
  </si>
  <si>
    <t xml:space="preserve">ORD-1076</t>
  </si>
  <si>
    <t xml:space="preserve">ORD-1333</t>
  </si>
  <si>
    <t xml:space="preserve">ORD-1267</t>
  </si>
  <si>
    <t xml:space="preserve">ORD-1090</t>
  </si>
  <si>
    <t xml:space="preserve">ORD-1173</t>
  </si>
  <si>
    <t xml:space="preserve">ORD-1250</t>
  </si>
  <si>
    <t xml:space="preserve">ORD-1027</t>
  </si>
  <si>
    <t xml:space="preserve">ORD-1152</t>
  </si>
  <si>
    <t xml:space="preserve">ORD-1211</t>
  </si>
  <si>
    <t xml:space="preserve">ORD-1159</t>
  </si>
  <si>
    <t xml:space="preserve">ORD-1498</t>
  </si>
  <si>
    <t xml:space="preserve">ORD-1040</t>
  </si>
  <si>
    <t xml:space="preserve">ORD-1316</t>
  </si>
  <si>
    <t xml:space="preserve">ORD-1386</t>
  </si>
  <si>
    <t xml:space="preserve">ORD-1437</t>
  </si>
  <si>
    <t xml:space="preserve">ORD-1006</t>
  </si>
  <si>
    <t xml:space="preserve">ORD-1122</t>
  </si>
  <si>
    <t xml:space="preserve">ORD-1372</t>
  </si>
  <si>
    <t xml:space="preserve">ORD-1206</t>
  </si>
  <si>
    <t xml:space="preserve">ORD-1264</t>
  </si>
  <si>
    <t xml:space="preserve">ORD-1214</t>
  </si>
  <si>
    <t xml:space="preserve">ORD-1313</t>
  </si>
  <si>
    <t xml:space="preserve">ORD-1449</t>
  </si>
  <si>
    <t xml:space="preserve">ORD-1158</t>
  </si>
  <si>
    <t xml:space="preserve">ORD-1101</t>
  </si>
  <si>
    <t xml:space="preserve">ORD-1082</t>
  </si>
  <si>
    <t xml:space="preserve">ORD-1458</t>
  </si>
  <si>
    <t xml:space="preserve">ORD-1431</t>
  </si>
  <si>
    <t xml:space="preserve">ORD-1300</t>
  </si>
  <si>
    <t xml:space="preserve">ORD-1368</t>
  </si>
  <si>
    <t xml:space="preserve">ORD-1433</t>
  </si>
  <si>
    <t xml:space="preserve">ORD-1359</t>
  </si>
  <si>
    <t xml:space="preserve">ORD-1271</t>
  </si>
  <si>
    <t xml:space="preserve">ORD-1301</t>
  </si>
  <si>
    <t xml:space="preserve">ORD-1391</t>
  </si>
  <si>
    <t xml:space="preserve">ORD-1422</t>
  </si>
  <si>
    <t xml:space="preserve">ORD-1263</t>
  </si>
  <si>
    <t xml:space="preserve">ORD-1408</t>
  </si>
  <si>
    <t xml:space="preserve">ORD-1469</t>
  </si>
  <si>
    <t xml:space="preserve">ORD-1042</t>
  </si>
  <si>
    <t xml:space="preserve">ORD-1352</t>
  </si>
  <si>
    <t xml:space="preserve">ORD-1302</t>
  </si>
  <si>
    <t xml:space="preserve">ORD-1124</t>
  </si>
  <si>
    <t xml:space="preserve">ORD-1249</t>
  </si>
  <si>
    <t xml:space="preserve">ORD-1140</t>
  </si>
  <si>
    <t xml:space="preserve">ORD-1018</t>
  </si>
  <si>
    <t xml:space="preserve">ORD-1338</t>
  </si>
  <si>
    <t xml:space="preserve">ORD-1329</t>
  </si>
  <si>
    <t xml:space="preserve">ORD-1215</t>
  </si>
  <si>
    <t xml:space="preserve">ORD-1247</t>
  </si>
  <si>
    <t xml:space="preserve">ORD-1161</t>
  </si>
  <si>
    <t xml:space="preserve">ORD-1219</t>
  </si>
  <si>
    <t xml:space="preserve">ORD-1212</t>
  </si>
  <si>
    <t xml:space="preserve">ORD-1157</t>
  </si>
  <si>
    <t xml:space="preserve">ORD-1284</t>
  </si>
  <si>
    <t xml:space="preserve">ORD-1175</t>
  </si>
  <si>
    <t xml:space="preserve">ORD-1376</t>
  </si>
  <si>
    <t xml:space="preserve">ORD-1343</t>
  </si>
  <si>
    <t xml:space="preserve">ORD-1296</t>
  </si>
  <si>
    <t xml:space="preserve">ORD-1396</t>
  </si>
  <si>
    <t xml:space="preserve">ORD-1216</t>
  </si>
  <si>
    <t xml:space="preserve">ORD-1446</t>
  </si>
  <si>
    <t xml:space="preserve">ORD-1125</t>
  </si>
  <si>
    <t xml:space="preserve">ORD-1392</t>
  </si>
  <si>
    <t xml:space="preserve">ORD-1477</t>
  </si>
  <si>
    <t xml:space="preserve">ORD-1473</t>
  </si>
  <si>
    <t xml:space="preserve">ORD-1240</t>
  </si>
  <si>
    <t xml:space="preserve">ORD-1453</t>
  </si>
  <si>
    <t xml:space="preserve">ORD-1237</t>
  </si>
  <si>
    <t xml:space="preserve">ORD-1448</t>
  </si>
  <si>
    <t xml:space="preserve">ORD-1270</t>
  </si>
  <si>
    <t xml:space="preserve">ORD-1339</t>
  </si>
  <si>
    <t xml:space="preserve">ORD-1398</t>
  </si>
  <si>
    <t xml:space="preserve">ORD-1344</t>
  </si>
  <si>
    <t xml:space="preserve">ORD-1366</t>
  </si>
  <si>
    <t xml:space="preserve">ORD-1114</t>
  </si>
  <si>
    <t xml:space="preserve">ORD-1004</t>
  </si>
  <si>
    <t xml:space="preserve">ORD-1011</t>
  </si>
  <si>
    <t xml:space="preserve">ORD-1046</t>
  </si>
  <si>
    <t xml:space="preserve">ORD-1117</t>
  </si>
  <si>
    <t xml:space="preserve">ORD-1080</t>
  </si>
  <si>
    <t xml:space="preserve">ORD-1051</t>
  </si>
  <si>
    <t xml:space="preserve">ORD-1026</t>
  </si>
  <si>
    <t xml:space="preserve">ORD-1383</t>
  </si>
  <si>
    <t xml:space="preserve">ORD-1297</t>
  </si>
  <si>
    <t xml:space="preserve">ORD-1488</t>
  </si>
  <si>
    <t xml:space="preserve">ORD-1499</t>
  </si>
  <si>
    <t xml:space="preserve">ORD-1111</t>
  </si>
  <si>
    <t xml:space="preserve">ORD-1142</t>
  </si>
  <si>
    <t xml:space="preserve">ORD-1306</t>
  </si>
  <si>
    <t xml:space="preserve">ORD-1461</t>
  </si>
  <si>
    <t xml:space="preserve">ORD-1126</t>
  </si>
  <si>
    <t xml:space="preserve">ORD-1482</t>
  </si>
  <si>
    <t xml:space="preserve">ORD-1100</t>
  </si>
  <si>
    <t xml:space="preserve">ORD-1218</t>
  </si>
  <si>
    <t xml:space="preserve">ORD-1457</t>
  </si>
  <si>
    <t xml:space="preserve">ORD-1407</t>
  </si>
  <si>
    <t xml:space="preserve">ORD-1495</t>
  </si>
  <si>
    <t xml:space="preserve">ORD-1135</t>
  </si>
  <si>
    <t xml:space="preserve">ORD-1315</t>
  </si>
  <si>
    <t xml:space="preserve">ORD-1144</t>
  </si>
  <si>
    <t xml:space="preserve">ORD-1447</t>
  </si>
  <si>
    <t xml:space="preserve">ORD-1110</t>
  </si>
  <si>
    <t xml:space="preserve">ORD-1382</t>
  </si>
  <si>
    <t xml:space="preserve">ORD-1180</t>
  </si>
  <si>
    <t xml:space="preserve">ORD-1022</t>
  </si>
  <si>
    <t xml:space="preserve">ORD-1054</t>
  </si>
  <si>
    <t xml:space="preserve">ORD-1357</t>
  </si>
  <si>
    <t xml:space="preserve">ORD-1337</t>
  </si>
  <si>
    <t xml:space="preserve">ORD-1020</t>
  </si>
  <si>
    <t xml:space="preserve">ORD-1401</t>
  </si>
  <si>
    <t xml:space="preserve">ORD-1303</t>
  </si>
  <si>
    <t xml:space="preserve">ORD-1484</t>
  </si>
  <si>
    <t xml:space="preserve">ORD-1462</t>
  </si>
  <si>
    <t xml:space="preserve">ORD-1067</t>
  </si>
  <si>
    <t xml:space="preserve">ORD-1202</t>
  </si>
  <si>
    <t xml:space="preserve">ORD-1162</t>
  </si>
  <si>
    <t xml:space="preserve">ORD-1071</t>
  </si>
  <si>
    <t xml:space="preserve">ORD-1471</t>
  </si>
  <si>
    <t xml:space="preserve">ORD-1390</t>
  </si>
  <si>
    <t xml:space="preserve">ORD-1225</t>
  </si>
  <si>
    <t xml:space="preserve">ORD-1036</t>
  </si>
  <si>
    <t xml:space="preserve">ORD-1479</t>
  </si>
  <si>
    <t xml:space="preserve">ORD-1490</t>
  </si>
  <si>
    <t xml:space="preserve">ORD-1231</t>
  </si>
  <si>
    <t xml:space="preserve">ORD-1227</t>
  </si>
  <si>
    <t xml:space="preserve">ORD-1419</t>
  </si>
  <si>
    <t xml:space="preserve">ORD-1416</t>
  </si>
  <si>
    <t xml:space="preserve">ORD-1204</t>
  </si>
  <si>
    <t xml:space="preserve">ORD-1330</t>
  </si>
  <si>
    <t xml:space="preserve">ORD-1015</t>
  </si>
  <si>
    <t xml:space="preserve">ORD-1295</t>
  </si>
  <si>
    <t xml:space="preserve">ORD-1312</t>
  </si>
  <si>
    <t xml:space="preserve">ORD-1088</t>
  </si>
  <si>
    <t xml:space="preserve">ORD-1308</t>
  </si>
  <si>
    <t xml:space="preserve">ORD-1062</t>
  </si>
  <si>
    <t xml:space="preserve">ORD-1005</t>
  </si>
  <si>
    <t xml:space="preserve">ORD-1120</t>
  </si>
  <si>
    <t xml:space="preserve">ORD-1291</t>
  </si>
  <si>
    <t xml:space="preserve">ORD-1137</t>
  </si>
  <si>
    <t xml:space="preserve">ORD-1394</t>
  </si>
  <si>
    <t xml:space="preserve">ORD-1189</t>
  </si>
  <si>
    <t xml:space="preserve">ORD-1439</t>
  </si>
  <si>
    <t xml:space="preserve">ORD-1259</t>
  </si>
  <si>
    <t xml:space="preserve">ORD-1481</t>
  </si>
  <si>
    <t xml:space="preserve">ORD-1052</t>
  </si>
  <si>
    <t xml:space="preserve">ORD-1164</t>
  </si>
  <si>
    <t xml:space="preserve">ORD-1102</t>
  </si>
  <si>
    <t xml:space="preserve">ORD-1414</t>
  </si>
  <si>
    <t xml:space="preserve">ORD-1085</t>
  </si>
  <si>
    <t xml:space="preserve">ORD-1034</t>
  </si>
  <si>
    <t xml:space="preserve">ORD-1053</t>
  </si>
  <si>
    <t xml:space="preserve">ORD-1094</t>
  </si>
  <si>
    <t xml:space="preserve">ORD-1106</t>
  </si>
  <si>
    <t xml:space="preserve">ORD-1165</t>
  </si>
  <si>
    <t xml:space="preserve">ORD-1340</t>
  </si>
  <si>
    <t xml:space="preserve">ORD-1450</t>
  </si>
  <si>
    <t xml:space="preserve">ORD-1078</t>
  </si>
  <si>
    <t xml:space="preserve">ORD-1038</t>
  </si>
  <si>
    <t xml:space="preserve">ORD-1294</t>
  </si>
  <si>
    <t xml:space="preserve">ORD-1380</t>
  </si>
  <si>
    <t xml:space="preserve">ORD-1423</t>
  </si>
  <si>
    <t xml:space="preserve">ORD-1077</t>
  </si>
  <si>
    <t xml:space="preserve">ORD-1253</t>
  </si>
  <si>
    <t xml:space="preserve">ORD-1273</t>
  </si>
  <si>
    <t xml:space="preserve">ORD-1287</t>
  </si>
  <si>
    <t xml:space="preserve">ORD-1410</t>
  </si>
  <si>
    <t xml:space="preserve">ORD-1282</t>
  </si>
  <si>
    <t xml:space="preserve">ORD-1024</t>
  </si>
  <si>
    <t xml:space="preserve">ORD-1417</t>
  </si>
  <si>
    <t xml:space="preserve">ORD-1116</t>
  </si>
  <si>
    <t xml:space="preserve">ORD-1427</t>
  </si>
  <si>
    <t xml:space="preserve">ORD-1350</t>
  </si>
  <si>
    <t xml:space="preserve">ORD-1374</t>
  </si>
  <si>
    <t xml:space="preserve">ORD-1314</t>
  </si>
  <si>
    <t xml:space="preserve">ORD-1115</t>
  </si>
  <si>
    <t xml:space="preserve">ORD-1208</t>
  </si>
  <si>
    <t xml:space="preserve">ORD-1093</t>
  </si>
  <si>
    <t xml:space="preserve">ORD-1047</t>
  </si>
  <si>
    <t xml:space="preserve">ORD-1200</t>
  </si>
  <si>
    <t xml:space="preserve">ORD-1393</t>
  </si>
  <si>
    <t xml:space="preserve">ORD-1266</t>
  </si>
  <si>
    <t xml:space="preserve">ORD-1468</t>
  </si>
  <si>
    <t xml:space="preserve">ORD-1016</t>
  </si>
  <si>
    <t xml:space="preserve">ORD-1130</t>
  </si>
  <si>
    <t xml:space="preserve">ORD-1230</t>
  </si>
  <si>
    <t xml:space="preserve">ORD-1418</t>
  </si>
  <si>
    <t xml:space="preserve">ORD-1254</t>
  </si>
  <si>
    <t xml:space="preserve">ORD-1332</t>
  </si>
  <si>
    <t xml:space="preserve">ORD-1328</t>
  </si>
  <si>
    <t xml:space="preserve">ORD-1323</t>
  </si>
  <si>
    <t xml:space="preserve">ORD-1341</t>
  </si>
  <si>
    <t xml:space="preserve">ORD-1033</t>
  </si>
  <si>
    <t xml:space="preserve">ORD-1205</t>
  </si>
  <si>
    <t xml:space="preserve">ORD-1293</t>
  </si>
  <si>
    <t xml:space="preserve">ORD-1207</t>
  </si>
  <si>
    <t xml:space="preserve">ORD-1186</t>
  </si>
  <si>
    <t xml:space="preserve">ORD-1375</t>
  </si>
  <si>
    <t xml:space="preserve">ORD-1445</t>
  </si>
  <si>
    <t xml:space="preserve">ORD-1235</t>
  </si>
  <si>
    <t xml:space="preserve">ORD-1369</t>
  </si>
  <si>
    <t xml:space="preserve">ORD-1119</t>
  </si>
  <si>
    <t xml:space="preserve">ORD-1099</t>
  </si>
  <si>
    <t xml:space="preserve">ORD-1045</t>
  </si>
  <si>
    <t xml:space="preserve">ORD-1156</t>
  </si>
  <si>
    <t xml:space="preserve">ORD-1342</t>
  </si>
  <si>
    <t xml:space="preserve">ORD-1429</t>
  </si>
  <si>
    <t xml:space="preserve">ORD-1232</t>
  </si>
  <si>
    <t xml:space="preserve">ORD-1277</t>
  </si>
  <si>
    <t xml:space="preserve">ORD-1226</t>
  </si>
  <si>
    <t xml:space="preserve">ORD-1154</t>
  </si>
  <si>
    <t xml:space="preserve">ORD-1163</t>
  </si>
  <si>
    <t xml:space="preserve">ORD-1148</t>
  </si>
  <si>
    <t xml:space="preserve">ORD-1083</t>
  </si>
  <si>
    <t xml:space="preserve">ORD-1379</t>
  </si>
  <si>
    <t xml:space="preserve">ORD-1210</t>
  </si>
  <si>
    <t xml:space="preserve">ORD-1184</t>
  </si>
  <si>
    <t xml:space="preserve">ORD-1233</t>
  </si>
  <si>
    <t xml:space="preserve">ORD-1153</t>
  </si>
  <si>
    <t xml:space="preserve">ORD-1373</t>
  </si>
  <si>
    <t xml:space="preserve">ORD-1190</t>
  </si>
  <si>
    <t xml:space="preserve">ORD-1229</t>
  </si>
  <si>
    <t xml:space="preserve">ORD-1304</t>
  </si>
  <si>
    <t xml:space="preserve">ORD-1002</t>
  </si>
  <si>
    <t xml:space="preserve">ORD-1060</t>
  </si>
  <si>
    <t xml:space="preserve">ORD-1167</t>
  </si>
  <si>
    <t xml:space="preserve">ORD-1056</t>
  </si>
  <si>
    <t xml:space="preserve">ORD-1262</t>
  </si>
  <si>
    <t xml:space="preserve">ORD-1014</t>
  </si>
  <si>
    <t xml:space="preserve">ORD-1043</t>
  </si>
  <si>
    <t xml:space="preserve">ORD-1362</t>
  </si>
  <si>
    <t xml:space="preserve">ORD-1139</t>
  </si>
  <si>
    <t xml:space="preserve">ORD-1081</t>
  </si>
  <si>
    <t xml:space="preserve">ORD-1193</t>
  </si>
  <si>
    <t xml:space="preserve">ORD-1256</t>
  </si>
  <si>
    <t xml:space="preserve">ORD-1483</t>
  </si>
  <si>
    <t xml:space="preserve">ORD-1466</t>
  </si>
  <si>
    <t xml:space="preserve">ORD-1041</t>
  </si>
  <si>
    <t xml:space="preserve">ORD-1367</t>
  </si>
  <si>
    <t xml:space="preserve">ORD-1138</t>
  </si>
  <si>
    <t xml:space="preserve">ORD-1346</t>
  </si>
  <si>
    <t xml:space="preserve">ORD-1097</t>
  </si>
  <si>
    <t xml:space="preserve">ORD-1403</t>
  </si>
  <si>
    <t xml:space="preserve">ORD-1145</t>
  </si>
  <si>
    <t xml:space="preserve">ORD-1092</t>
  </si>
  <si>
    <t xml:space="preserve">ORD-1201</t>
  </si>
  <si>
    <t xml:space="preserve">ORD-1176</t>
  </si>
  <si>
    <t xml:space="preserve">ORD-1299</t>
  </si>
  <si>
    <t xml:space="preserve">ORD-1055</t>
  </si>
  <si>
    <t xml:space="preserve">ORD-1409</t>
  </si>
  <si>
    <t xml:space="preserve">ORD-1151</t>
  </si>
  <si>
    <t xml:space="preserve">ORD-1136</t>
  </si>
  <si>
    <t xml:space="preserve">ORD-1242</t>
  </si>
  <si>
    <t xml:space="preserve">ORD-1356</t>
  </si>
  <si>
    <t xml:space="preserve">ORD-1280</t>
  </si>
  <si>
    <t xml:space="preserve">ORD-1224</t>
  </si>
  <si>
    <t xml:space="preserve">ORD-1348</t>
  </si>
  <si>
    <t xml:space="preserve">ORD-1326</t>
  </si>
  <si>
    <t xml:space="preserve">ORD-1487</t>
  </si>
  <si>
    <t xml:space="preserve">ORD-1475</t>
  </si>
  <si>
    <t xml:space="preserve">ORD-1009</t>
  </si>
  <si>
    <t xml:space="preserve">ORD-1334</t>
  </si>
  <si>
    <t xml:space="preserve">ORD-1129</t>
  </si>
  <si>
    <t xml:space="preserve">ORD-1365</t>
  </si>
  <si>
    <t xml:space="preserve">ORD-1007</t>
  </si>
  <si>
    <t xml:space="preserve">ORD-1155</t>
  </si>
  <si>
    <t xml:space="preserve">ORD-1361</t>
  </si>
  <si>
    <t xml:space="preserve">ORD-1285</t>
  </si>
  <si>
    <t xml:space="preserve">ORD-1289</t>
  </si>
  <si>
    <t xml:space="preserve">ORD-1325</t>
  </si>
  <si>
    <t xml:space="preserve">ORD-1128</t>
  </si>
  <si>
    <t xml:space="preserve">ORD-1363</t>
  </si>
  <si>
    <t xml:space="preserve">ORD-1168</t>
  </si>
  <si>
    <t xml:space="preserve">ORD-1327</t>
  </si>
  <si>
    <t xml:space="preserve">ORD-1000</t>
  </si>
  <si>
    <t xml:space="preserve">ORD-1288</t>
  </si>
  <si>
    <t xml:space="preserve">ORD-1355</t>
  </si>
  <si>
    <t xml:space="preserve">ORD-1438</t>
  </si>
  <si>
    <t xml:space="preserve">ORD-1454</t>
  </si>
  <si>
    <t xml:space="preserve">ORD-1405</t>
  </si>
  <si>
    <t xml:space="preserve">ORD-1384</t>
  </si>
  <si>
    <t xml:space="preserve">ORD-1127</t>
  </si>
  <si>
    <t xml:space="preserve">ORD-1107</t>
  </si>
  <si>
    <t xml:space="preserve">ORD-1044</t>
  </si>
  <si>
    <t xml:space="preserve">ORD-1070</t>
  </si>
  <si>
    <t xml:space="preserve">ORD-1179</t>
  </si>
  <si>
    <t xml:space="preserve">ORD-1199</t>
  </si>
  <si>
    <t xml:space="preserve">ORD-1013</t>
  </si>
  <si>
    <t xml:space="preserve">ORD-1426</t>
  </si>
  <si>
    <t xml:space="preserve">ORD-1265</t>
  </si>
  <si>
    <t xml:space="preserve">ORD-1248</t>
  </si>
  <si>
    <t xml:space="preserve">ORD-1049</t>
  </si>
  <si>
    <t xml:space="preserve">ORD-1442</t>
  </si>
  <si>
    <t xml:space="preserve">ORD-1464</t>
  </si>
  <si>
    <t xml:space="preserve">ORD-1406</t>
  </si>
  <si>
    <t xml:space="preserve">ORD-1378</t>
  </si>
  <si>
    <t xml:space="preserve">ORD-1324</t>
  </si>
  <si>
    <t xml:space="preserve">ORD-1074</t>
  </si>
  <si>
    <t xml:space="preserve">Sales &amp; Profit by Category</t>
  </si>
  <si>
    <t xml:space="preserve">Profit Margin %</t>
  </si>
  <si>
    <t xml:space="preserve">Monthly Sales Trend</t>
  </si>
  <si>
    <t xml:space="preserve">Month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</si>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</sst>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666666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3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B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2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4BF7C"/>
          <bgColor rgb="FF000000"/>
        </patternFill>
      </fill>
    </dxf>
    <dxf>
      <fill>
        <patternFill patternType="solid">
          <fgColor rgb="FF65BF7C"/>
          <bgColor rgb="FF000000"/>
        </patternFill>
      </fill>
    </dxf>
    <dxf>
      <fill>
        <patternFill patternType="solid">
          <fgColor rgb="FF66BF7C"/>
          <bgColor rgb="FF000000"/>
        </patternFill>
      </fill>
    </dxf>
    <dxf>
      <fill>
        <patternFill patternType="solid">
          <fgColor rgb="FF67BF7C"/>
          <bgColor rgb="FF000000"/>
        </patternFill>
      </fill>
    </dxf>
    <dxf>
      <fill>
        <patternFill patternType="solid">
          <fgColor rgb="FF68C07C"/>
          <bgColor rgb="FF000000"/>
        </patternFill>
      </fill>
    </dxf>
    <dxf>
      <fill>
        <patternFill patternType="solid">
          <fgColor rgb="FF69C07C"/>
          <bgColor rgb="FF000000"/>
        </patternFill>
      </fill>
    </dxf>
    <dxf>
      <fill>
        <patternFill patternType="solid">
          <fgColor rgb="FF6BC17C"/>
          <bgColor rgb="FF000000"/>
        </patternFill>
      </fill>
    </dxf>
    <dxf>
      <fill>
        <patternFill patternType="solid">
          <fgColor rgb="FF6CC17C"/>
          <bgColor rgb="FF000000"/>
        </patternFill>
      </fill>
    </dxf>
    <dxf>
      <fill>
        <patternFill patternType="solid">
          <fgColor rgb="FF6DC17C"/>
          <bgColor rgb="FF000000"/>
        </patternFill>
      </fill>
    </dxf>
    <dxf>
      <fill>
        <patternFill patternType="solid">
          <fgColor rgb="FF70C27C"/>
          <bgColor rgb="FF000000"/>
        </patternFill>
      </fill>
    </dxf>
    <dxf>
      <fill>
        <patternFill patternType="solid">
          <fgColor rgb="FF71C27C"/>
          <bgColor rgb="FF000000"/>
        </patternFill>
      </fill>
    </dxf>
    <dxf>
      <fill>
        <patternFill patternType="solid">
          <fgColor rgb="FF72C37C"/>
          <bgColor rgb="FF000000"/>
        </patternFill>
      </fill>
    </dxf>
    <dxf>
      <fill>
        <patternFill patternType="solid">
          <fgColor rgb="FF74C37C"/>
          <bgColor rgb="FF000000"/>
        </patternFill>
      </fill>
    </dxf>
    <dxf>
      <fill>
        <patternFill patternType="solid">
          <fgColor rgb="FF75C47D"/>
          <bgColor rgb="FF000000"/>
        </patternFill>
      </fill>
    </dxf>
    <dxf>
      <fill>
        <patternFill patternType="solid">
          <fgColor rgb="FF76C47D"/>
          <bgColor rgb="FF000000"/>
        </patternFill>
      </fill>
    </dxf>
    <dxf>
      <fill>
        <patternFill patternType="solid">
          <fgColor rgb="FF77C47D"/>
          <bgColor rgb="FF000000"/>
        </patternFill>
      </fill>
    </dxf>
    <dxf>
      <fill>
        <patternFill patternType="solid">
          <fgColor rgb="FF78C47D"/>
          <bgColor rgb="FF000000"/>
        </patternFill>
      </fill>
    </dxf>
    <dxf>
      <fill>
        <patternFill patternType="solid">
          <fgColor rgb="FF78C57D"/>
          <bgColor rgb="FF000000"/>
        </patternFill>
      </fill>
    </dxf>
    <dxf>
      <fill>
        <patternFill patternType="solid">
          <fgColor rgb="FF79C57D"/>
          <bgColor rgb="FF000000"/>
        </patternFill>
      </fill>
    </dxf>
    <dxf>
      <fill>
        <patternFill patternType="solid">
          <fgColor rgb="FF7AC57D"/>
          <bgColor rgb="FF000000"/>
        </patternFill>
      </fill>
    </dxf>
    <dxf>
      <fill>
        <patternFill patternType="solid">
          <fgColor rgb="FF7BC57D"/>
          <bgColor rgb="FF000000"/>
        </patternFill>
      </fill>
    </dxf>
    <dxf>
      <fill>
        <patternFill patternType="solid">
          <fgColor rgb="FF7DC67D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7FC67D"/>
          <bgColor rgb="FF000000"/>
        </patternFill>
      </fill>
    </dxf>
    <dxf>
      <fill>
        <patternFill patternType="solid">
          <fgColor rgb="FF80C77D"/>
          <bgColor rgb="FF000000"/>
        </patternFill>
      </fill>
    </dxf>
    <dxf>
      <fill>
        <patternFill patternType="solid">
          <fgColor rgb="FF81C77D"/>
          <bgColor rgb="FF000000"/>
        </patternFill>
      </fill>
    </dxf>
    <dxf>
      <fill>
        <patternFill patternType="solid">
          <fgColor rgb="FF82C77D"/>
          <bgColor rgb="FF000000"/>
        </patternFill>
      </fill>
    </dxf>
    <dxf>
      <fill>
        <patternFill patternType="solid">
          <fgColor rgb="FF83C87D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86C97E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8BCA7E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8DCB7E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8FCB7E"/>
          <bgColor rgb="FF000000"/>
        </patternFill>
      </fill>
    </dxf>
    <dxf>
      <fill>
        <patternFill patternType="solid">
          <fgColor rgb="FF90CB7E"/>
          <bgColor rgb="FF000000"/>
        </patternFill>
      </fill>
    </dxf>
    <dxf>
      <fill>
        <patternFill patternType="solid">
          <fgColor rgb="FF91CB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2CC7E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4CD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6CD7E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8CE7F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BCE7F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1D07F"/>
          <bgColor rgb="FF000000"/>
        </patternFill>
      </fill>
    </dxf>
    <dxf>
      <fill>
        <patternFill patternType="solid">
          <fgColor rgb="FFA2D1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A4D1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A9D380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B0D5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2D580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3D6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5D6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BED8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9DC81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CFDD82"/>
          <bgColor rgb="FF000000"/>
        </patternFill>
      </fill>
    </dxf>
    <dxf>
      <fill>
        <patternFill patternType="solid">
          <fgColor rgb="FFCFDE82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7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6A6B"/>
          <bgColor rgb="FF000000"/>
        </patternFill>
      </fill>
    </dxf>
    <dxf>
      <fill>
        <patternFill patternType="solid">
          <fgColor rgb="FFF86B6B"/>
          <bgColor rgb="FF000000"/>
        </patternFill>
      </fill>
    </dxf>
    <dxf>
      <fill>
        <patternFill patternType="solid">
          <fgColor rgb="FFF86C6B"/>
          <bgColor rgb="FF000000"/>
        </patternFill>
      </fill>
    </dxf>
    <dxf>
      <fill>
        <patternFill patternType="solid">
          <fgColor rgb="FFF86D6B"/>
          <bgColor rgb="FF000000"/>
        </patternFill>
      </fill>
    </dxf>
    <dxf>
      <fill>
        <patternFill patternType="solid">
          <fgColor rgb="FFF86E6C"/>
          <bgColor rgb="FF000000"/>
        </patternFill>
      </fill>
    </dxf>
    <dxf>
      <fill>
        <patternFill patternType="solid">
          <fgColor rgb="FFF86F6C"/>
          <bgColor rgb="FF000000"/>
        </patternFill>
      </fill>
    </dxf>
    <dxf>
      <fill>
        <patternFill patternType="solid">
          <fgColor rgb="FFF8706C"/>
          <bgColor rgb="FF000000"/>
        </patternFill>
      </fill>
    </dxf>
    <dxf>
      <fill>
        <patternFill patternType="solid">
          <fgColor rgb="FFF8716C"/>
          <bgColor rgb="FF000000"/>
        </patternFill>
      </fill>
    </dxf>
    <dxf>
      <fill>
        <patternFill patternType="solid">
          <fgColor rgb="FFF8726C"/>
          <bgColor rgb="FF000000"/>
        </patternFill>
      </fill>
    </dxf>
    <dxf>
      <fill>
        <patternFill patternType="solid">
          <fgColor rgb="FFF8736D"/>
          <bgColor rgb="FF000000"/>
        </patternFill>
      </fill>
    </dxf>
    <dxf>
      <fill>
        <patternFill patternType="solid">
          <fgColor rgb="FFF8746D"/>
          <bgColor rgb="FF000000"/>
        </patternFill>
      </fill>
    </dxf>
    <dxf>
      <fill>
        <patternFill patternType="solid">
          <fgColor rgb="FFF8756D"/>
          <bgColor rgb="FF000000"/>
        </patternFill>
      </fill>
    </dxf>
    <dxf>
      <fill>
        <patternFill patternType="solid">
          <fgColor rgb="FFF8766D"/>
          <bgColor rgb="FF000000"/>
        </patternFill>
      </fill>
    </dxf>
    <dxf>
      <fill>
        <patternFill patternType="solid">
          <fgColor rgb="FFF8776D"/>
          <bgColor rgb="FF000000"/>
        </patternFill>
      </fill>
    </dxf>
    <dxf>
      <fill>
        <patternFill patternType="solid">
          <fgColor rgb="FFF8786E"/>
          <bgColor rgb="FF000000"/>
        </patternFill>
      </fill>
    </dxf>
    <dxf>
      <fill>
        <patternFill patternType="solid">
          <fgColor rgb="FFF8796E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87B6E"/>
          <bgColor rgb="FF000000"/>
        </patternFill>
      </fill>
    </dxf>
    <dxf>
      <fill>
        <patternFill patternType="solid">
          <fgColor rgb="FFF97B6E"/>
          <bgColor rgb="FF000000"/>
        </patternFill>
      </fill>
    </dxf>
    <dxf>
      <fill>
        <patternFill patternType="solid">
          <fgColor rgb="FFF97C6E"/>
          <bgColor rgb="FF000000"/>
        </patternFill>
      </fill>
    </dxf>
    <dxf>
      <fill>
        <patternFill patternType="solid">
          <fgColor rgb="FFF97D6E"/>
          <bgColor rgb="FF000000"/>
        </patternFill>
      </fill>
    </dxf>
    <dxf>
      <fill>
        <patternFill patternType="solid">
          <fgColor rgb="FFF97D6F"/>
          <bgColor rgb="FF000000"/>
        </patternFill>
      </fill>
    </dxf>
    <dxf>
      <fill>
        <patternFill patternType="solid">
          <fgColor rgb="FFF97E6F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9816F"/>
          <bgColor rgb="FF000000"/>
        </patternFill>
      </fill>
    </dxf>
    <dxf>
      <fill>
        <patternFill patternType="solid">
          <fgColor rgb="FFF9826F"/>
          <bgColor rgb="FF000000"/>
        </patternFill>
      </fill>
    </dxf>
    <dxf>
      <fill>
        <patternFill patternType="solid">
          <fgColor rgb="FFF98470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98670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98870"/>
          <bgColor rgb="FF000000"/>
        </patternFill>
      </fill>
    </dxf>
    <dxf>
      <fill>
        <patternFill patternType="solid">
          <fgColor rgb="FFF98971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98B71"/>
          <bgColor rgb="FF000000"/>
        </patternFill>
      </fill>
    </dxf>
    <dxf>
      <fill>
        <patternFill patternType="solid">
          <fgColor rgb="FFF98C71"/>
          <bgColor rgb="FF000000"/>
        </patternFill>
      </fill>
    </dxf>
    <dxf>
      <fill>
        <patternFill patternType="solid">
          <fgColor rgb="FFF98D71"/>
          <bgColor rgb="FF000000"/>
        </patternFill>
      </fill>
    </dxf>
    <dxf>
      <fill>
        <patternFill patternType="solid">
          <fgColor rgb="FFF98D72"/>
          <bgColor rgb="FF000000"/>
        </patternFill>
      </fill>
    </dxf>
    <dxf>
      <fill>
        <patternFill patternType="solid">
          <fgColor rgb="FFF98E72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172"/>
          <bgColor rgb="FF000000"/>
        </patternFill>
      </fill>
    </dxf>
    <dxf>
      <fill>
        <patternFill patternType="solid">
          <fgColor rgb="FFFA9272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473"/>
          <bgColor rgb="FF000000"/>
        </patternFill>
      </fill>
    </dxf>
    <dxf>
      <fill>
        <patternFill patternType="solid">
          <fgColor rgb="FFFA9573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974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A9C7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075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BA276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BA476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A777"/>
          <bgColor rgb="FF000000"/>
        </patternFill>
      </fill>
    </dxf>
    <dxf>
      <fill>
        <patternFill patternType="solid">
          <fgColor rgb="FFFBA877"/>
          <bgColor rgb="FF000000"/>
        </patternFill>
      </fill>
    </dxf>
    <dxf>
      <fill>
        <patternFill patternType="solid">
          <fgColor rgb="FFFBA977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BAC77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BB179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A7A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CBC7A"/>
          <bgColor rgb="FF000000"/>
        </patternFill>
      </fill>
    </dxf>
    <dxf>
      <fill>
        <patternFill patternType="solid">
          <fgColor rgb="FFFCBC7B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CC27C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CB7E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CD7E"/>
          <bgColor rgb="FF000000"/>
        </patternFill>
      </fill>
    </dxf>
    <dxf>
      <fill>
        <patternFill patternType="solid">
          <fgColor rgb="FFFDCF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D880"/>
          <bgColor rgb="FF000000"/>
        </patternFill>
      </fill>
    </dxf>
    <dxf>
      <fill>
        <patternFill patternType="solid">
          <fgColor rgb="FFFEDB80"/>
          <bgColor rgb="FF000000"/>
        </patternFill>
      </fill>
    </dxf>
    <dxf>
      <fill>
        <patternFill patternType="solid">
          <fgColor rgb="FFFEDB81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081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72C588"/>
          <bgColor rgb="FF000000"/>
        </patternFill>
      </fill>
    </dxf>
    <dxf>
      <fill>
        <patternFill patternType="solid">
          <fgColor rgb="FF74C589"/>
          <bgColor rgb="FF000000"/>
        </patternFill>
      </fill>
    </dxf>
    <dxf>
      <fill>
        <patternFill patternType="solid">
          <fgColor rgb="FF76C68B"/>
          <bgColor rgb="FF000000"/>
        </patternFill>
      </fill>
    </dxf>
    <dxf>
      <fill>
        <patternFill patternType="solid">
          <fgColor rgb="FF7BC88F"/>
          <bgColor rgb="FF000000"/>
        </patternFill>
      </fill>
    </dxf>
    <dxf>
      <fill>
        <patternFill patternType="solid">
          <fgColor rgb="FF7DC991"/>
          <bgColor rgb="FF000000"/>
        </patternFill>
      </fill>
    </dxf>
    <dxf>
      <fill>
        <patternFill patternType="solid">
          <fgColor rgb="FF7ECA92"/>
          <bgColor rgb="FF000000"/>
        </patternFill>
      </fill>
    </dxf>
    <dxf>
      <fill>
        <patternFill patternType="solid">
          <fgColor rgb="FF81CB95"/>
          <bgColor rgb="FF000000"/>
        </patternFill>
      </fill>
    </dxf>
    <dxf>
      <fill>
        <patternFill patternType="solid">
          <fgColor rgb="FF82CB95"/>
          <bgColor rgb="FF000000"/>
        </patternFill>
      </fill>
    </dxf>
    <dxf>
      <fill>
        <patternFill patternType="solid">
          <fgColor rgb="FF84CC97"/>
          <bgColor rgb="FF000000"/>
        </patternFill>
      </fill>
    </dxf>
    <dxf>
      <fill>
        <patternFill patternType="solid">
          <fgColor rgb="FF85CC97"/>
          <bgColor rgb="FF000000"/>
        </patternFill>
      </fill>
    </dxf>
    <dxf>
      <fill>
        <patternFill patternType="solid">
          <fgColor rgb="FF88CE9B"/>
          <bgColor rgb="FF000000"/>
        </patternFill>
      </fill>
    </dxf>
    <dxf>
      <fill>
        <patternFill patternType="solid">
          <fgColor rgb="FF89CE9B"/>
          <bgColor rgb="FF000000"/>
        </patternFill>
      </fill>
    </dxf>
    <dxf>
      <fill>
        <patternFill patternType="solid">
          <fgColor rgb="FF8BCF9D"/>
          <bgColor rgb="FF000000"/>
        </patternFill>
      </fill>
    </dxf>
    <dxf>
      <fill>
        <patternFill patternType="solid">
          <fgColor rgb="FF8DD09E"/>
          <bgColor rgb="FF000000"/>
        </patternFill>
      </fill>
    </dxf>
    <dxf>
      <fill>
        <patternFill patternType="solid">
          <fgColor rgb="FF90D1A1"/>
          <bgColor rgb="FF000000"/>
        </patternFill>
      </fill>
    </dxf>
    <dxf>
      <fill>
        <patternFill patternType="solid">
          <fgColor rgb="FF90D1A2"/>
          <bgColor rgb="FF000000"/>
        </patternFill>
      </fill>
    </dxf>
    <dxf>
      <fill>
        <patternFill patternType="solid">
          <fgColor rgb="FF91D1A2"/>
          <bgColor rgb="FF000000"/>
        </patternFill>
      </fill>
    </dxf>
    <dxf>
      <fill>
        <patternFill patternType="solid">
          <fgColor rgb="FF94D3A4"/>
          <bgColor rgb="FF000000"/>
        </patternFill>
      </fill>
    </dxf>
    <dxf>
      <fill>
        <patternFill patternType="solid">
          <fgColor rgb="FF94D3A5"/>
          <bgColor rgb="FF000000"/>
        </patternFill>
      </fill>
    </dxf>
    <dxf>
      <fill>
        <patternFill patternType="solid">
          <fgColor rgb="FF95D3A5"/>
          <bgColor rgb="FF000000"/>
        </patternFill>
      </fill>
    </dxf>
    <dxf>
      <fill>
        <patternFill patternType="solid">
          <fgColor rgb="FF96D4A7"/>
          <bgColor rgb="FF000000"/>
        </patternFill>
      </fill>
    </dxf>
    <dxf>
      <fill>
        <patternFill patternType="solid">
          <fgColor rgb="FF98D4A8"/>
          <bgColor rgb="FF000000"/>
        </patternFill>
      </fill>
    </dxf>
    <dxf>
      <fill>
        <patternFill patternType="solid">
          <fgColor rgb="FF99D5A9"/>
          <bgColor rgb="FF000000"/>
        </patternFill>
      </fill>
    </dxf>
    <dxf>
      <fill>
        <patternFill patternType="solid">
          <fgColor rgb="FF9AD5AA"/>
          <bgColor rgb="FF000000"/>
        </patternFill>
      </fill>
    </dxf>
    <dxf>
      <fill>
        <patternFill patternType="solid">
          <fgColor rgb="FF9BD5AA"/>
          <bgColor rgb="FF000000"/>
        </patternFill>
      </fill>
    </dxf>
    <dxf>
      <fill>
        <patternFill patternType="solid">
          <fgColor rgb="FF9BD6AA"/>
          <bgColor rgb="FF000000"/>
        </patternFill>
      </fill>
    </dxf>
    <dxf>
      <fill>
        <patternFill patternType="solid">
          <fgColor rgb="FF9DD6AC"/>
          <bgColor rgb="FF000000"/>
        </patternFill>
      </fill>
    </dxf>
    <dxf>
      <fill>
        <patternFill patternType="solid">
          <fgColor rgb="FF9ED7AD"/>
          <bgColor rgb="FF000000"/>
        </patternFill>
      </fill>
    </dxf>
    <dxf>
      <fill>
        <patternFill patternType="solid">
          <fgColor rgb="FF9FD7AE"/>
          <bgColor rgb="FF000000"/>
        </patternFill>
      </fill>
    </dxf>
    <dxf>
      <fill>
        <patternFill patternType="solid">
          <fgColor rgb="FFA0D8AF"/>
          <bgColor rgb="FF000000"/>
        </patternFill>
      </fill>
    </dxf>
    <dxf>
      <fill>
        <patternFill patternType="solid">
          <fgColor rgb="FFA1D8AF"/>
          <bgColor rgb="FF000000"/>
        </patternFill>
      </fill>
    </dxf>
    <dxf>
      <fill>
        <patternFill patternType="solid">
          <fgColor rgb="FFA3D9B1"/>
          <bgColor rgb="FF000000"/>
        </patternFill>
      </fill>
    </dxf>
    <dxf>
      <fill>
        <patternFill patternType="solid">
          <fgColor rgb="FFA4D9B2"/>
          <bgColor rgb="FF000000"/>
        </patternFill>
      </fill>
    </dxf>
    <dxf>
      <fill>
        <patternFill patternType="solid">
          <fgColor rgb="FFA5DAB3"/>
          <bgColor rgb="FF000000"/>
        </patternFill>
      </fill>
    </dxf>
    <dxf>
      <fill>
        <patternFill patternType="solid">
          <fgColor rgb="FFA7DBB5"/>
          <bgColor rgb="FF000000"/>
        </patternFill>
      </fill>
    </dxf>
    <dxf>
      <fill>
        <patternFill patternType="solid">
          <fgColor rgb="FFA8DBB5"/>
          <bgColor rgb="FF000000"/>
        </patternFill>
      </fill>
    </dxf>
    <dxf>
      <fill>
        <patternFill patternType="solid">
          <fgColor rgb="FFA8DBB6"/>
          <bgColor rgb="FF000000"/>
        </patternFill>
      </fill>
    </dxf>
    <dxf>
      <fill>
        <patternFill patternType="solid">
          <fgColor rgb="FFA9DBB6"/>
          <bgColor rgb="FF000000"/>
        </patternFill>
      </fill>
    </dxf>
    <dxf>
      <fill>
        <patternFill patternType="solid">
          <fgColor rgb="FFAADCB7"/>
          <bgColor rgb="FF000000"/>
        </patternFill>
      </fill>
    </dxf>
    <dxf>
      <fill>
        <patternFill patternType="solid">
          <fgColor rgb="FFABDCB8"/>
          <bgColor rgb="FF000000"/>
        </patternFill>
      </fill>
    </dxf>
    <dxf>
      <fill>
        <patternFill patternType="solid">
          <fgColor rgb="FFACDDB9"/>
          <bgColor rgb="FF000000"/>
        </patternFill>
      </fill>
    </dxf>
    <dxf>
      <fill>
        <patternFill patternType="solid">
          <fgColor rgb="FFADDDBA"/>
          <bgColor rgb="FF000000"/>
        </patternFill>
      </fill>
    </dxf>
    <dxf>
      <fill>
        <patternFill patternType="solid">
          <fgColor rgb="FFAEDEBB"/>
          <bgColor rgb="FF000000"/>
        </patternFill>
      </fill>
    </dxf>
    <dxf>
      <fill>
        <patternFill patternType="solid">
          <fgColor rgb="FFB0DEBC"/>
          <bgColor rgb="FF000000"/>
        </patternFill>
      </fill>
    </dxf>
    <dxf>
      <fill>
        <patternFill patternType="solid">
          <fgColor rgb="FFB1DFBD"/>
          <bgColor rgb="FF000000"/>
        </patternFill>
      </fill>
    </dxf>
    <dxf>
      <fill>
        <patternFill patternType="solid">
          <fgColor rgb="FFB2DFBE"/>
          <bgColor rgb="FF000000"/>
        </patternFill>
      </fill>
    </dxf>
    <dxf>
      <fill>
        <patternFill patternType="solid">
          <fgColor rgb="FFB3E0BF"/>
          <bgColor rgb="FF000000"/>
        </patternFill>
      </fill>
    </dxf>
    <dxf>
      <fill>
        <patternFill patternType="solid">
          <fgColor rgb="FFB4E0BF"/>
          <bgColor rgb="FF000000"/>
        </patternFill>
      </fill>
    </dxf>
    <dxf>
      <fill>
        <patternFill patternType="solid">
          <fgColor rgb="FFB5E0C0"/>
          <bgColor rgb="FF000000"/>
        </patternFill>
      </fill>
    </dxf>
    <dxf>
      <fill>
        <patternFill patternType="solid">
          <fgColor rgb="FFB5E0C1"/>
          <bgColor rgb="FF000000"/>
        </patternFill>
      </fill>
    </dxf>
    <dxf>
      <fill>
        <patternFill patternType="solid">
          <fgColor rgb="FFB6E1C1"/>
          <bgColor rgb="FF000000"/>
        </patternFill>
      </fill>
    </dxf>
    <dxf>
      <fill>
        <patternFill patternType="solid">
          <fgColor rgb="FFB7E1C2"/>
          <bgColor rgb="FF000000"/>
        </patternFill>
      </fill>
    </dxf>
    <dxf>
      <fill>
        <patternFill patternType="solid">
          <fgColor rgb="FFB8E2C3"/>
          <bgColor rgb="FF000000"/>
        </patternFill>
      </fill>
    </dxf>
    <dxf>
      <fill>
        <patternFill patternType="solid">
          <fgColor rgb="FFBAE2C4"/>
          <bgColor rgb="FF000000"/>
        </patternFill>
      </fill>
    </dxf>
    <dxf>
      <fill>
        <patternFill patternType="solid">
          <fgColor rgb="FFBBE3C5"/>
          <bgColor rgb="FF000000"/>
        </patternFill>
      </fill>
    </dxf>
    <dxf>
      <fill>
        <patternFill patternType="solid">
          <fgColor rgb="FFBDE4C7"/>
          <bgColor rgb="FF000000"/>
        </patternFill>
      </fill>
    </dxf>
    <dxf>
      <fill>
        <patternFill patternType="solid">
          <fgColor rgb="FFBEE4C8"/>
          <bgColor rgb="FF000000"/>
        </patternFill>
      </fill>
    </dxf>
    <dxf>
      <fill>
        <patternFill patternType="solid">
          <fgColor rgb="FFBFE5C9"/>
          <bgColor rgb="FF000000"/>
        </patternFill>
      </fill>
    </dxf>
    <dxf>
      <fill>
        <patternFill patternType="solid">
          <fgColor rgb="FFC0E5CA"/>
          <bgColor rgb="FF000000"/>
        </patternFill>
      </fill>
    </dxf>
    <dxf>
      <fill>
        <patternFill patternType="solid">
          <fgColor rgb="FFC1E6CB"/>
          <bgColor rgb="FF000000"/>
        </patternFill>
      </fill>
    </dxf>
    <dxf>
      <fill>
        <patternFill patternType="solid">
          <fgColor rgb="FFC2E6CB"/>
          <bgColor rgb="FF000000"/>
        </patternFill>
      </fill>
    </dxf>
    <dxf>
      <fill>
        <patternFill patternType="solid">
          <fgColor rgb="FFC3E6CC"/>
          <bgColor rgb="FF000000"/>
        </patternFill>
      </fill>
    </dxf>
    <dxf>
      <fill>
        <patternFill patternType="solid">
          <fgColor rgb="FFC5E7CE"/>
          <bgColor rgb="FF000000"/>
        </patternFill>
      </fill>
    </dxf>
    <dxf>
      <fill>
        <patternFill patternType="solid">
          <fgColor rgb="FFC6E7CE"/>
          <bgColor rgb="FF000000"/>
        </patternFill>
      </fill>
    </dxf>
    <dxf>
      <fill>
        <patternFill patternType="solid">
          <fgColor rgb="FFC6E7CF"/>
          <bgColor rgb="FF000000"/>
        </patternFill>
      </fill>
    </dxf>
    <dxf>
      <fill>
        <patternFill patternType="solid">
          <fgColor rgb="FFC7E8CF"/>
          <bgColor rgb="FF000000"/>
        </patternFill>
      </fill>
    </dxf>
    <dxf>
      <fill>
        <patternFill patternType="solid">
          <fgColor rgb="FFC7E8D0"/>
          <bgColor rgb="FF000000"/>
        </patternFill>
      </fill>
    </dxf>
    <dxf>
      <fill>
        <patternFill patternType="solid">
          <fgColor rgb="FFC8E8D0"/>
          <bgColor rgb="FF000000"/>
        </patternFill>
      </fill>
    </dxf>
    <dxf>
      <fill>
        <patternFill patternType="solid">
          <fgColor rgb="FFC8E8D1"/>
          <bgColor rgb="FF000000"/>
        </patternFill>
      </fill>
    </dxf>
    <dxf>
      <fill>
        <patternFill patternType="solid">
          <fgColor rgb="FFC8E9D1"/>
          <bgColor rgb="FF000000"/>
        </patternFill>
      </fill>
    </dxf>
    <dxf>
      <fill>
        <patternFill patternType="solid">
          <fgColor rgb="FFC9E9D1"/>
          <bgColor rgb="FF000000"/>
        </patternFill>
      </fill>
    </dxf>
    <dxf>
      <fill>
        <patternFill patternType="solid">
          <fgColor rgb="FFCAE9D2"/>
          <bgColor rgb="FF000000"/>
        </patternFill>
      </fill>
    </dxf>
    <dxf>
      <fill>
        <patternFill patternType="solid">
          <fgColor rgb="FFCAE9D3"/>
          <bgColor rgb="FF000000"/>
        </patternFill>
      </fill>
    </dxf>
    <dxf>
      <fill>
        <patternFill patternType="solid">
          <fgColor rgb="FFCBEAD3"/>
          <bgColor rgb="FF000000"/>
        </patternFill>
      </fill>
    </dxf>
    <dxf>
      <fill>
        <patternFill patternType="solid">
          <fgColor rgb="FFCCEAD4"/>
          <bgColor rgb="FF000000"/>
        </patternFill>
      </fill>
    </dxf>
    <dxf>
      <fill>
        <patternFill patternType="solid">
          <fgColor rgb="FFCDEAD4"/>
          <bgColor rgb="FF000000"/>
        </patternFill>
      </fill>
    </dxf>
    <dxf>
      <fill>
        <patternFill patternType="solid">
          <fgColor rgb="FFCDEAD5"/>
          <bgColor rgb="FF000000"/>
        </patternFill>
      </fill>
    </dxf>
    <dxf>
      <fill>
        <patternFill patternType="solid">
          <fgColor rgb="FFCDEBD5"/>
          <bgColor rgb="FF000000"/>
        </patternFill>
      </fill>
    </dxf>
    <dxf>
      <fill>
        <patternFill patternType="solid">
          <fgColor rgb="FFCEEBD5"/>
          <bgColor rgb="FF000000"/>
        </patternFill>
      </fill>
    </dxf>
    <dxf>
      <fill>
        <patternFill patternType="solid">
          <fgColor rgb="FFCEEBD6"/>
          <bgColor rgb="FF000000"/>
        </patternFill>
      </fill>
    </dxf>
    <dxf>
      <fill>
        <patternFill patternType="solid">
          <fgColor rgb="FFCFEBD6"/>
          <bgColor rgb="FF000000"/>
        </patternFill>
      </fill>
    </dxf>
    <dxf>
      <fill>
        <patternFill patternType="solid">
          <fgColor rgb="FFCFEBD7"/>
          <bgColor rgb="FF000000"/>
        </patternFill>
      </fill>
    </dxf>
    <dxf>
      <fill>
        <patternFill patternType="solid">
          <fgColor rgb="FFD0ECD7"/>
          <bgColor rgb="FF000000"/>
        </patternFill>
      </fill>
    </dxf>
    <dxf>
      <fill>
        <patternFill patternType="solid">
          <fgColor rgb="FFD1ECD8"/>
          <bgColor rgb="FF000000"/>
        </patternFill>
      </fill>
    </dxf>
    <dxf>
      <fill>
        <patternFill patternType="solid">
          <fgColor rgb="FFD1ECD9"/>
          <bgColor rgb="FF000000"/>
        </patternFill>
      </fill>
    </dxf>
    <dxf>
      <fill>
        <patternFill patternType="solid">
          <fgColor rgb="FFD3EDD9"/>
          <bgColor rgb="FF000000"/>
        </patternFill>
      </fill>
    </dxf>
    <dxf>
      <fill>
        <patternFill patternType="solid">
          <fgColor rgb="FFD3EDDA"/>
          <bgColor rgb="FF000000"/>
        </patternFill>
      </fill>
    </dxf>
    <dxf>
      <fill>
        <patternFill patternType="solid">
          <fgColor rgb="FFD4EDDB"/>
          <bgColor rgb="FF000000"/>
        </patternFill>
      </fill>
    </dxf>
    <dxf>
      <fill>
        <patternFill patternType="solid">
          <fgColor rgb="FFD5EEDB"/>
          <bgColor rgb="FF000000"/>
        </patternFill>
      </fill>
    </dxf>
    <dxf>
      <fill>
        <patternFill patternType="solid">
          <fgColor rgb="FFD5EEDC"/>
          <bgColor rgb="FF000000"/>
        </patternFill>
      </fill>
    </dxf>
    <dxf>
      <fill>
        <patternFill patternType="solid">
          <fgColor rgb="FFD6EEDC"/>
          <bgColor rgb="FF000000"/>
        </patternFill>
      </fill>
    </dxf>
    <dxf>
      <fill>
        <patternFill patternType="solid">
          <fgColor rgb="FFD7EFDD"/>
          <bgColor rgb="FF000000"/>
        </patternFill>
      </fill>
    </dxf>
    <dxf>
      <fill>
        <patternFill patternType="solid">
          <fgColor rgb="FFD8EFDE"/>
          <bgColor rgb="FF000000"/>
        </patternFill>
      </fill>
    </dxf>
    <dxf>
      <fill>
        <patternFill patternType="solid">
          <fgColor rgb="FFD9EFDF"/>
          <bgColor rgb="FF000000"/>
        </patternFill>
      </fill>
    </dxf>
    <dxf>
      <fill>
        <patternFill patternType="solid">
          <fgColor rgb="FFDAF0DF"/>
          <bgColor rgb="FF000000"/>
        </patternFill>
      </fill>
    </dxf>
    <dxf>
      <fill>
        <patternFill patternType="solid">
          <fgColor rgb="FFDAF0E0"/>
          <bgColor rgb="FF000000"/>
        </patternFill>
      </fill>
    </dxf>
    <dxf>
      <fill>
        <patternFill patternType="solid">
          <fgColor rgb="FFDBF0E0"/>
          <bgColor rgb="FF000000"/>
        </patternFill>
      </fill>
    </dxf>
    <dxf>
      <fill>
        <patternFill patternType="solid">
          <fgColor rgb="FFDBF0E1"/>
          <bgColor rgb="FF000000"/>
        </patternFill>
      </fill>
    </dxf>
    <dxf>
      <fill>
        <patternFill patternType="solid">
          <fgColor rgb="FFDCF1E1"/>
          <bgColor rgb="FF000000"/>
        </patternFill>
      </fill>
    </dxf>
    <dxf>
      <fill>
        <patternFill patternType="solid">
          <fgColor rgb="FFDCF1E2"/>
          <bgColor rgb="FF000000"/>
        </patternFill>
      </fill>
    </dxf>
    <dxf>
      <fill>
        <patternFill patternType="solid">
          <fgColor rgb="FFDDF1E2"/>
          <bgColor rgb="FF000000"/>
        </patternFill>
      </fill>
    </dxf>
    <dxf>
      <fill>
        <patternFill patternType="solid">
          <fgColor rgb="FFDDF1E3"/>
          <bgColor rgb="FF000000"/>
        </patternFill>
      </fill>
    </dxf>
    <dxf>
      <fill>
        <patternFill patternType="solid">
          <fgColor rgb="FFDEF1E3"/>
          <bgColor rgb="FF000000"/>
        </patternFill>
      </fill>
    </dxf>
    <dxf>
      <fill>
        <patternFill patternType="solid">
          <fgColor rgb="FFDEF2E3"/>
          <bgColor rgb="FF000000"/>
        </patternFill>
      </fill>
    </dxf>
    <dxf>
      <fill>
        <patternFill patternType="solid">
          <fgColor rgb="FFDEF2E4"/>
          <bgColor rgb="FF000000"/>
        </patternFill>
      </fill>
    </dxf>
    <dxf>
      <fill>
        <patternFill patternType="solid">
          <fgColor rgb="FFDFF2E4"/>
          <bgColor rgb="FF000000"/>
        </patternFill>
      </fill>
    </dxf>
    <dxf>
      <fill>
        <patternFill patternType="solid">
          <fgColor rgb="FFE0F2E5"/>
          <bgColor rgb="FF000000"/>
        </patternFill>
      </fill>
    </dxf>
    <dxf>
      <fill>
        <patternFill patternType="solid">
          <fgColor rgb="FFE1F3E6"/>
          <bgColor rgb="FF000000"/>
        </patternFill>
      </fill>
    </dxf>
    <dxf>
      <fill>
        <patternFill patternType="solid">
          <fgColor rgb="FFE2F3E6"/>
          <bgColor rgb="FF000000"/>
        </patternFill>
      </fill>
    </dxf>
    <dxf>
      <fill>
        <patternFill patternType="solid">
          <fgColor rgb="FFE2F3E7"/>
          <bgColor rgb="FF000000"/>
        </patternFill>
      </fill>
    </dxf>
    <dxf>
      <fill>
        <patternFill patternType="solid">
          <fgColor rgb="FFE3F4E7"/>
          <bgColor rgb="FF000000"/>
        </patternFill>
      </fill>
    </dxf>
    <dxf>
      <fill>
        <patternFill patternType="solid">
          <fgColor rgb="FFE3F4E8"/>
          <bgColor rgb="FF000000"/>
        </patternFill>
      </fill>
    </dxf>
    <dxf>
      <fill>
        <patternFill patternType="solid">
          <fgColor rgb="FFE4F4E8"/>
          <bgColor rgb="FF000000"/>
        </patternFill>
      </fill>
    </dxf>
    <dxf>
      <fill>
        <patternFill patternType="solid">
          <fgColor rgb="FFE4F4E9"/>
          <bgColor rgb="FF000000"/>
        </patternFill>
      </fill>
    </dxf>
    <dxf>
      <fill>
        <patternFill patternType="solid">
          <fgColor rgb="FFE5F5E9"/>
          <bgColor rgb="FF000000"/>
        </patternFill>
      </fill>
    </dxf>
    <dxf>
      <fill>
        <patternFill patternType="solid">
          <fgColor rgb="FFE6F5EA"/>
          <bgColor rgb="FF000000"/>
        </patternFill>
      </fill>
    </dxf>
    <dxf>
      <fill>
        <patternFill patternType="solid">
          <fgColor rgb="FFE7F5EA"/>
          <bgColor rgb="FF000000"/>
        </patternFill>
      </fill>
    </dxf>
    <dxf>
      <fill>
        <patternFill patternType="solid">
          <fgColor rgb="FFE7F5EB"/>
          <bgColor rgb="FF000000"/>
        </patternFill>
      </fill>
    </dxf>
    <dxf>
      <fill>
        <patternFill patternType="solid">
          <fgColor rgb="FFE8F6EB"/>
          <bgColor rgb="FF000000"/>
        </patternFill>
      </fill>
    </dxf>
    <dxf>
      <fill>
        <patternFill patternType="solid">
          <fgColor rgb="FFE9F6EC"/>
          <bgColor rgb="FF000000"/>
        </patternFill>
      </fill>
    </dxf>
    <dxf>
      <fill>
        <patternFill patternType="solid">
          <fgColor rgb="FFEAF6ED"/>
          <bgColor rgb="FF000000"/>
        </patternFill>
      </fill>
    </dxf>
    <dxf>
      <fill>
        <patternFill patternType="solid">
          <fgColor rgb="FFEAF7ED"/>
          <bgColor rgb="FF000000"/>
        </patternFill>
      </fill>
    </dxf>
    <dxf>
      <fill>
        <patternFill patternType="solid">
          <fgColor rgb="FFEAF7EE"/>
          <bgColor rgb="FF000000"/>
        </patternFill>
      </fill>
    </dxf>
    <dxf>
      <fill>
        <patternFill patternType="solid">
          <fgColor rgb="FFEBF7EE"/>
          <bgColor rgb="FF000000"/>
        </patternFill>
      </fill>
    </dxf>
    <dxf>
      <fill>
        <patternFill patternType="solid">
          <fgColor rgb="FFECF7EF"/>
          <bgColor rgb="FF000000"/>
        </patternFill>
      </fill>
    </dxf>
    <dxf>
      <fill>
        <patternFill patternType="solid">
          <fgColor rgb="FFEDF8EF"/>
          <bgColor rgb="FF000000"/>
        </patternFill>
      </fill>
    </dxf>
    <dxf>
      <fill>
        <patternFill patternType="solid">
          <fgColor rgb="FFEDF8F0"/>
          <bgColor rgb="FF000000"/>
        </patternFill>
      </fill>
    </dxf>
    <dxf>
      <fill>
        <patternFill patternType="solid">
          <fgColor rgb="FFEEF8F0"/>
          <bgColor rgb="FF000000"/>
        </patternFill>
      </fill>
    </dxf>
    <dxf>
      <fill>
        <patternFill patternType="solid">
          <fgColor rgb="FFEEF8F1"/>
          <bgColor rgb="FF000000"/>
        </patternFill>
      </fill>
    </dxf>
    <dxf>
      <fill>
        <patternFill patternType="solid">
          <fgColor rgb="FFEFF8F1"/>
          <bgColor rgb="FF000000"/>
        </patternFill>
      </fill>
    </dxf>
    <dxf>
      <fill>
        <patternFill patternType="solid">
          <fgColor rgb="FFEFF9F1"/>
          <bgColor rgb="FF000000"/>
        </patternFill>
      </fill>
    </dxf>
    <dxf>
      <fill>
        <patternFill patternType="solid">
          <fgColor rgb="FFEFF9F2"/>
          <bgColor rgb="FF000000"/>
        </patternFill>
      </fill>
    </dxf>
    <dxf>
      <fill>
        <patternFill patternType="solid">
          <fgColor rgb="FFF0F9F2"/>
          <bgColor rgb="FF000000"/>
        </patternFill>
      </fill>
    </dxf>
    <dxf>
      <fill>
        <patternFill patternType="solid">
          <fgColor rgb="FFF0F9F3"/>
          <bgColor rgb="FF000000"/>
        </patternFill>
      </fill>
    </dxf>
    <dxf>
      <fill>
        <patternFill patternType="solid">
          <fgColor rgb="FFF1FAF3"/>
          <bgColor rgb="FF000000"/>
        </patternFill>
      </fill>
    </dxf>
    <dxf>
      <fill>
        <patternFill patternType="solid">
          <fgColor rgb="FFF1FAF4"/>
          <bgColor rgb="FF000000"/>
        </patternFill>
      </fill>
    </dxf>
    <dxf>
      <fill>
        <patternFill patternType="solid">
          <fgColor rgb="FFF2FAF4"/>
          <bgColor rgb="FF000000"/>
        </patternFill>
      </fill>
    </dxf>
    <dxf>
      <fill>
        <patternFill patternType="solid">
          <fgColor rgb="FFF3FAF5"/>
          <bgColor rgb="FF000000"/>
        </patternFill>
      </fill>
    </dxf>
    <dxf>
      <fill>
        <patternFill patternType="solid">
          <fgColor rgb="FFF4FBF6"/>
          <bgColor rgb="FF000000"/>
        </patternFill>
      </fill>
    </dxf>
    <dxf>
      <fill>
        <patternFill patternType="solid">
          <fgColor rgb="FFF5FBF7"/>
          <bgColor rgb="FF000000"/>
        </patternFill>
      </fill>
    </dxf>
    <dxf>
      <fill>
        <patternFill patternType="solid">
          <fgColor rgb="FFF6FBF7"/>
          <bgColor rgb="FF000000"/>
        </patternFill>
      </fill>
    </dxf>
    <dxf>
      <fill>
        <patternFill patternType="solid">
          <fgColor rgb="FFF6FCF8"/>
          <bgColor rgb="FF000000"/>
        </patternFill>
      </fill>
    </dxf>
    <dxf>
      <fill>
        <patternFill patternType="solid">
          <fgColor rgb="FFF7FCF8"/>
          <bgColor rgb="FF000000"/>
        </patternFill>
      </fill>
    </dxf>
    <dxf>
      <fill>
        <patternFill patternType="solid">
          <fgColor rgb="FFF87072"/>
          <bgColor rgb="FF000000"/>
        </patternFill>
      </fill>
    </dxf>
    <dxf>
      <fill>
        <patternFill patternType="solid">
          <fgColor rgb="FFF87D7F"/>
          <bgColor rgb="FF000000"/>
        </patternFill>
      </fill>
    </dxf>
    <dxf>
      <fill>
        <patternFill patternType="solid">
          <fgColor rgb="FFF8FDF9"/>
          <bgColor rgb="FF000000"/>
        </patternFill>
      </fill>
    </dxf>
    <dxf>
      <fill>
        <patternFill patternType="solid">
          <fgColor rgb="FFF97F81"/>
          <bgColor rgb="FF000000"/>
        </patternFill>
      </fill>
    </dxf>
    <dxf>
      <fill>
        <patternFill patternType="solid">
          <fgColor rgb="FFF98687"/>
          <bgColor rgb="FF000000"/>
        </patternFill>
      </fill>
    </dxf>
    <dxf>
      <fill>
        <patternFill patternType="solid">
          <fgColor rgb="FFF98A8C"/>
          <bgColor rgb="FF000000"/>
        </patternFill>
      </fill>
    </dxf>
    <dxf>
      <fill>
        <patternFill patternType="solid">
          <fgColor rgb="FFF98E8F"/>
          <bgColor rgb="FF000000"/>
        </patternFill>
      </fill>
    </dxf>
    <dxf>
      <fill>
        <patternFill patternType="solid">
          <fgColor rgb="FFF99293"/>
          <bgColor rgb="FF000000"/>
        </patternFill>
      </fill>
    </dxf>
    <dxf>
      <fill>
        <patternFill patternType="solid">
          <fgColor rgb="FFF9FDFA"/>
          <bgColor rgb="FF000000"/>
        </patternFill>
      </fill>
    </dxf>
    <dxf>
      <fill>
        <patternFill patternType="solid">
          <fgColor rgb="FFFA9395"/>
          <bgColor rgb="FF000000"/>
        </patternFill>
      </fill>
    </dxf>
    <dxf>
      <fill>
        <patternFill patternType="solid">
          <fgColor rgb="FFFA9B9C"/>
          <bgColor rgb="FF000000"/>
        </patternFill>
      </fill>
    </dxf>
    <dxf>
      <fill>
        <patternFill patternType="solid">
          <fgColor rgb="FFFA9B9D"/>
          <bgColor rgb="FF000000"/>
        </patternFill>
      </fill>
    </dxf>
    <dxf>
      <fill>
        <patternFill patternType="solid">
          <fgColor rgb="FFFA9E9F"/>
          <bgColor rgb="FF000000"/>
        </patternFill>
      </fill>
    </dxf>
    <dxf>
      <fill>
        <patternFill patternType="solid">
          <fgColor rgb="FFFA9FA1"/>
          <bgColor rgb="FF000000"/>
        </patternFill>
      </fill>
    </dxf>
    <dxf>
      <fill>
        <patternFill patternType="solid">
          <fgColor rgb="FFFAA4A5"/>
          <bgColor rgb="FF000000"/>
        </patternFill>
      </fill>
    </dxf>
    <dxf>
      <fill>
        <patternFill patternType="solid">
          <fgColor rgb="FFFAA5A6"/>
          <bgColor rgb="FF000000"/>
        </patternFill>
      </fill>
    </dxf>
    <dxf>
      <fill>
        <patternFill patternType="solid">
          <fgColor rgb="FFFAA7A8"/>
          <bgColor rgb="FF000000"/>
        </patternFill>
      </fill>
    </dxf>
    <dxf>
      <fill>
        <patternFill patternType="solid">
          <fgColor rgb="FFFAA9AA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BA9AA"/>
          <bgColor rgb="FF000000"/>
        </patternFill>
      </fill>
    </dxf>
    <dxf>
      <fill>
        <patternFill patternType="solid">
          <fgColor rgb="FFFBAAAB"/>
          <bgColor rgb="FF000000"/>
        </patternFill>
      </fill>
    </dxf>
    <dxf>
      <fill>
        <patternFill patternType="solid">
          <fgColor rgb="FFFBABAC"/>
          <bgColor rgb="FF000000"/>
        </patternFill>
      </fill>
    </dxf>
    <dxf>
      <fill>
        <patternFill patternType="solid">
          <fgColor rgb="FFFBACAD"/>
          <bgColor rgb="FF000000"/>
        </patternFill>
      </fill>
    </dxf>
    <dxf>
      <fill>
        <patternFill patternType="solid">
          <fgColor rgb="FFFBACAE"/>
          <bgColor rgb="FF000000"/>
        </patternFill>
      </fill>
    </dxf>
    <dxf>
      <fill>
        <patternFill patternType="solid">
          <fgColor rgb="FFFBB0B1"/>
          <bgColor rgb="FF000000"/>
        </patternFill>
      </fill>
    </dxf>
    <dxf>
      <fill>
        <patternFill patternType="solid">
          <fgColor rgb="FFFBB1B2"/>
          <bgColor rgb="FF000000"/>
        </patternFill>
      </fill>
    </dxf>
    <dxf>
      <fill>
        <patternFill patternType="solid">
          <fgColor rgb="FFFBB2B3"/>
          <bgColor rgb="FF000000"/>
        </patternFill>
      </fill>
    </dxf>
    <dxf>
      <fill>
        <patternFill patternType="solid">
          <fgColor rgb="FFFBB8B9"/>
          <bgColor rgb="FF000000"/>
        </patternFill>
      </fill>
    </dxf>
    <dxf>
      <fill>
        <patternFill patternType="solid">
          <fgColor rgb="FFFBB9BA"/>
          <bgColor rgb="FF000000"/>
        </patternFill>
      </fill>
    </dxf>
    <dxf>
      <fill>
        <patternFill patternType="solid">
          <fgColor rgb="FFFBBABB"/>
          <bgColor rgb="FF000000"/>
        </patternFill>
      </fill>
    </dxf>
    <dxf>
      <fill>
        <patternFill patternType="solid">
          <fgColor rgb="FFFBBBBC"/>
          <bgColor rgb="FF000000"/>
        </patternFill>
      </fill>
    </dxf>
    <dxf>
      <fill>
        <patternFill patternType="solid">
          <fgColor rgb="FFFBBCBD"/>
          <bgColor rgb="FF000000"/>
        </patternFill>
      </fill>
    </dxf>
    <dxf>
      <fill>
        <patternFill patternType="solid">
          <fgColor rgb="FFFBBDBE"/>
          <bgColor rgb="FF000000"/>
        </patternFill>
      </fill>
    </dxf>
    <dxf>
      <fill>
        <patternFill patternType="solid">
          <fgColor rgb="FFFBBEBF"/>
          <bgColor rgb="FF000000"/>
        </patternFill>
      </fill>
    </dxf>
    <dxf>
      <fill>
        <patternFill patternType="solid">
          <fgColor rgb="FFFBFDFB"/>
          <bgColor rgb="FF000000"/>
        </patternFill>
      </fill>
    </dxf>
    <dxf>
      <fill>
        <patternFill patternType="solid">
          <fgColor rgb="FFFBFEFC"/>
          <bgColor rgb="FF000000"/>
        </patternFill>
      </fill>
    </dxf>
    <dxf>
      <fill>
        <patternFill patternType="solid">
          <fgColor rgb="FFFCBFBF"/>
          <bgColor rgb="FF000000"/>
        </patternFill>
      </fill>
    </dxf>
    <dxf>
      <fill>
        <patternFill patternType="solid">
          <fgColor rgb="FFFCBFC0"/>
          <bgColor rgb="FF000000"/>
        </patternFill>
      </fill>
    </dxf>
    <dxf>
      <fill>
        <patternFill patternType="solid">
          <fgColor rgb="FFFCC0C0"/>
          <bgColor rgb="FF000000"/>
        </patternFill>
      </fill>
    </dxf>
    <dxf>
      <fill>
        <patternFill patternType="solid">
          <fgColor rgb="FFFCC1C2"/>
          <bgColor rgb="FF000000"/>
        </patternFill>
      </fill>
    </dxf>
    <dxf>
      <fill>
        <patternFill patternType="solid">
          <fgColor rgb="FFFCC2C2"/>
          <bgColor rgb="FF000000"/>
        </patternFill>
      </fill>
    </dxf>
    <dxf>
      <fill>
        <patternFill patternType="solid">
          <fgColor rgb="FFFCC2C3"/>
          <bgColor rgb="FF000000"/>
        </patternFill>
      </fill>
    </dxf>
    <dxf>
      <fill>
        <patternFill patternType="solid">
          <fgColor rgb="FFFCC4C5"/>
          <bgColor rgb="FF000000"/>
        </patternFill>
      </fill>
    </dxf>
    <dxf>
      <fill>
        <patternFill patternType="solid">
          <fgColor rgb="FFFCC5C5"/>
          <bgColor rgb="FF000000"/>
        </patternFill>
      </fill>
    </dxf>
    <dxf>
      <fill>
        <patternFill patternType="solid">
          <fgColor rgb="FFFCC5C6"/>
          <bgColor rgb="FF000000"/>
        </patternFill>
      </fill>
    </dxf>
    <dxf>
      <fill>
        <patternFill patternType="solid">
          <fgColor rgb="FFFCC7C7"/>
          <bgColor rgb="FF000000"/>
        </patternFill>
      </fill>
    </dxf>
    <dxf>
      <fill>
        <patternFill patternType="solid">
          <fgColor rgb="FFFCC7C8"/>
          <bgColor rgb="FF000000"/>
        </patternFill>
      </fill>
    </dxf>
    <dxf>
      <fill>
        <patternFill patternType="solid">
          <fgColor rgb="FFFCC8C8"/>
          <bgColor rgb="FF000000"/>
        </patternFill>
      </fill>
    </dxf>
    <dxf>
      <fill>
        <patternFill patternType="solid">
          <fgColor rgb="FFFCC8C9"/>
          <bgColor rgb="FF000000"/>
        </patternFill>
      </fill>
    </dxf>
    <dxf>
      <fill>
        <patternFill patternType="solid">
          <fgColor rgb="FFFCCBCB"/>
          <bgColor rgb="FF000000"/>
        </patternFill>
      </fill>
    </dxf>
    <dxf>
      <fill>
        <patternFill patternType="solid">
          <fgColor rgb="FFFCCBCC"/>
          <bgColor rgb="FF000000"/>
        </patternFill>
      </fill>
    </dxf>
    <dxf>
      <fill>
        <patternFill patternType="solid">
          <fgColor rgb="FFFCCCCD"/>
          <bgColor rgb="FF000000"/>
        </patternFill>
      </fill>
    </dxf>
    <dxf>
      <fill>
        <patternFill patternType="solid">
          <fgColor rgb="FFFCCDCD"/>
          <bgColor rgb="FF000000"/>
        </patternFill>
      </fill>
    </dxf>
    <dxf>
      <fill>
        <patternFill patternType="solid">
          <fgColor rgb="FFFCCECE"/>
          <bgColor rgb="FF000000"/>
        </patternFill>
      </fill>
    </dxf>
    <dxf>
      <fill>
        <patternFill patternType="solid">
          <fgColor rgb="FFFCCECF"/>
          <bgColor rgb="FF000000"/>
        </patternFill>
      </fill>
    </dxf>
    <dxf>
      <fill>
        <patternFill patternType="solid">
          <fgColor rgb="FFFCCFCF"/>
          <bgColor rgb="FF000000"/>
        </patternFill>
      </fill>
    </dxf>
    <dxf>
      <fill>
        <patternFill patternType="solid">
          <fgColor rgb="FFFCD0D0"/>
          <bgColor rgb="FF000000"/>
        </patternFill>
      </fill>
    </dxf>
    <dxf>
      <fill>
        <patternFill patternType="solid">
          <fgColor rgb="FFFCD0D1"/>
          <bgColor rgb="FF000000"/>
        </patternFill>
      </fill>
    </dxf>
    <dxf>
      <fill>
        <patternFill patternType="solid">
          <fgColor rgb="FFFCD2D3"/>
          <bgColor rgb="FF000000"/>
        </patternFill>
      </fill>
    </dxf>
    <dxf>
      <fill>
        <patternFill patternType="solid">
          <fgColor rgb="FFFCFEFC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D5D5"/>
          <bgColor rgb="FF000000"/>
        </patternFill>
      </fill>
    </dxf>
    <dxf>
      <fill>
        <patternFill patternType="solid">
          <fgColor rgb="FFFDD5D6"/>
          <bgColor rgb="FF000000"/>
        </patternFill>
      </fill>
    </dxf>
    <dxf>
      <fill>
        <patternFill patternType="solid">
          <fgColor rgb="FFFDD6D6"/>
          <bgColor rgb="FF000000"/>
        </patternFill>
      </fill>
    </dxf>
    <dxf>
      <fill>
        <patternFill patternType="solid">
          <fgColor rgb="FFFDD8D8"/>
          <bgColor rgb="FF000000"/>
        </patternFill>
      </fill>
    </dxf>
    <dxf>
      <fill>
        <patternFill patternType="solid">
          <fgColor rgb="FFFDD9D9"/>
          <bgColor rgb="FF000000"/>
        </patternFill>
      </fill>
    </dxf>
    <dxf>
      <fill>
        <patternFill patternType="solid">
          <fgColor rgb="FFFDD9DA"/>
          <bgColor rgb="FF000000"/>
        </patternFill>
      </fill>
    </dxf>
    <dxf>
      <fill>
        <patternFill patternType="solid">
          <fgColor rgb="FFFDDADA"/>
          <bgColor rgb="FF000000"/>
        </patternFill>
      </fill>
    </dxf>
    <dxf>
      <fill>
        <patternFill patternType="solid">
          <fgColor rgb="FFFDDCDC"/>
          <bgColor rgb="FF000000"/>
        </patternFill>
      </fill>
    </dxf>
    <dxf>
      <fill>
        <patternFill patternType="solid">
          <fgColor rgb="FFFDDEDE"/>
          <bgColor rgb="FF000000"/>
        </patternFill>
      </fill>
    </dxf>
    <dxf>
      <fill>
        <patternFill patternType="solid">
          <fgColor rgb="FFFDDEDF"/>
          <bgColor rgb="FF000000"/>
        </patternFill>
      </fill>
    </dxf>
    <dxf>
      <fill>
        <patternFill patternType="solid">
          <fgColor rgb="FFFDE0E1"/>
          <bgColor rgb="FF000000"/>
        </patternFill>
      </fill>
    </dxf>
    <dxf>
      <fill>
        <patternFill patternType="solid">
          <fgColor rgb="FFFDE1E1"/>
          <bgColor rgb="FF000000"/>
        </patternFill>
      </fill>
    </dxf>
    <dxf>
      <fill>
        <patternFill patternType="solid">
          <fgColor rgb="FFFDE2E2"/>
          <bgColor rgb="FF000000"/>
        </patternFill>
      </fill>
    </dxf>
    <dxf>
      <fill>
        <patternFill patternType="solid">
          <fgColor rgb="FFFDE2E3"/>
          <bgColor rgb="FF000000"/>
        </patternFill>
      </fill>
    </dxf>
    <dxf>
      <fill>
        <patternFill patternType="solid">
          <fgColor rgb="FFFDE3E3"/>
          <bgColor rgb="FF000000"/>
        </patternFill>
      </fill>
    </dxf>
    <dxf>
      <fill>
        <patternFill patternType="solid">
          <fgColor rgb="FFFDE3E4"/>
          <bgColor rgb="FF000000"/>
        </patternFill>
      </fill>
    </dxf>
    <dxf>
      <fill>
        <patternFill patternType="solid">
          <fgColor rgb="FFFDE4E5"/>
          <bgColor rgb="FF000000"/>
        </patternFill>
      </fill>
    </dxf>
    <dxf>
      <fill>
        <patternFill patternType="solid">
          <fgColor rgb="FFFDE5E5"/>
          <bgColor rgb="FF000000"/>
        </patternFill>
      </fill>
    </dxf>
    <dxf>
      <fill>
        <patternFill patternType="solid">
          <fgColor rgb="FFFDE5E6"/>
          <bgColor rgb="FF000000"/>
        </patternFill>
      </fill>
    </dxf>
    <dxf>
      <fill>
        <patternFill patternType="solid">
          <fgColor rgb="FFFDE6E6"/>
          <bgColor rgb="FF000000"/>
        </patternFill>
      </fill>
    </dxf>
    <dxf>
      <fill>
        <patternFill patternType="solid">
          <fgColor rgb="FFFDE7E7"/>
          <bgColor rgb="FF000000"/>
        </patternFill>
      </fill>
    </dxf>
    <dxf>
      <fill>
        <patternFill patternType="solid">
          <fgColor rgb="FFFDE8E8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DFFFE"/>
          <bgColor rgb="FF000000"/>
        </patternFill>
      </fill>
    </dxf>
    <dxf>
      <fill>
        <patternFill patternType="solid">
          <fgColor rgb="FFFEE9E9"/>
          <bgColor rgb="FF000000"/>
        </patternFill>
      </fill>
    </dxf>
    <dxf>
      <fill>
        <patternFill patternType="solid">
          <fgColor rgb="FFFEE9EA"/>
          <bgColor rgb="FF000000"/>
        </patternFill>
      </fill>
    </dxf>
    <dxf>
      <fill>
        <patternFill patternType="solid">
          <fgColor rgb="FFFEEAEA"/>
          <bgColor rgb="FF000000"/>
        </patternFill>
      </fill>
    </dxf>
    <dxf>
      <fill>
        <patternFill patternType="solid">
          <fgColor rgb="FFFEEBEB"/>
          <bgColor rgb="FF000000"/>
        </patternFill>
      </fill>
    </dxf>
    <dxf>
      <fill>
        <patternFill patternType="solid">
          <fgColor rgb="FFFEECEC"/>
          <bgColor rgb="FF000000"/>
        </patternFill>
      </fill>
    </dxf>
    <dxf>
      <fill>
        <patternFill patternType="solid">
          <fgColor rgb="FFFEEDED"/>
          <bgColor rgb="FF000000"/>
        </patternFill>
      </fill>
    </dxf>
    <dxf>
      <fill>
        <patternFill patternType="solid">
          <fgColor rgb="FFFEEEEE"/>
          <bgColor rgb="FF000000"/>
        </patternFill>
      </fill>
    </dxf>
    <dxf>
      <fill>
        <patternFill patternType="solid">
          <fgColor rgb="FFFEEFEF"/>
          <bgColor rgb="FF000000"/>
        </patternFill>
      </fill>
    </dxf>
    <dxf>
      <fill>
        <patternFill patternType="solid">
          <fgColor rgb="FFFEF0F0"/>
          <bgColor rgb="FF000000"/>
        </patternFill>
      </fill>
    </dxf>
    <dxf>
      <fill>
        <patternFill patternType="solid">
          <fgColor rgb="FFFEF1F1"/>
          <bgColor rgb="FF000000"/>
        </patternFill>
      </fill>
    </dxf>
    <dxf>
      <fill>
        <patternFill patternType="solid">
          <fgColor rgb="FFFEF2F2"/>
          <bgColor rgb="FF000000"/>
        </patternFill>
      </fill>
    </dxf>
    <dxf>
      <fill>
        <patternFill patternType="solid">
          <fgColor rgb="FFFEF2F3"/>
          <bgColor rgb="FF000000"/>
        </patternFill>
      </fill>
    </dxf>
    <dxf>
      <fill>
        <patternFill patternType="solid">
          <fgColor rgb="FFFEF3F3"/>
          <bgColor rgb="FF000000"/>
        </patternFill>
      </fill>
    </dxf>
    <dxf>
      <fill>
        <patternFill patternType="solid">
          <fgColor rgb="FFFEF3F4"/>
          <bgColor rgb="FF000000"/>
        </patternFill>
      </fill>
    </dxf>
    <dxf>
      <fill>
        <patternFill patternType="solid">
          <fgColor rgb="FFFEF4F4"/>
          <bgColor rgb="FF000000"/>
        </patternFill>
      </fill>
    </dxf>
    <dxf>
      <fill>
        <patternFill patternType="solid">
          <fgColor rgb="FFFEF5F5"/>
          <bgColor rgb="FF000000"/>
        </patternFill>
      </fill>
    </dxf>
    <dxf>
      <fill>
        <patternFill patternType="solid">
          <fgColor rgb="FFFEF6F6"/>
          <bgColor rgb="FF000000"/>
        </patternFill>
      </fill>
    </dxf>
    <dxf>
      <fill>
        <patternFill patternType="solid">
          <fgColor rgb="FFFEF7F7"/>
          <bgColor rgb="FF000000"/>
        </patternFill>
      </fill>
    </dxf>
    <dxf>
      <fill>
        <patternFill patternType="solid">
          <fgColor rgb="FFFEF8F8"/>
          <bgColor rgb="FF000000"/>
        </patternFill>
      </fill>
    </dxf>
    <dxf>
      <fill>
        <patternFill patternType="solid">
          <fgColor rgb="FFFEF8F9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CFD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DFE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C6E0"/>
      <rgbColor rgb="FF878787"/>
      <rgbColor rgb="FF9999FF"/>
      <rgbColor rgb="FF993366"/>
      <rgbColor rgb="FFF9F9F9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Summary!$B$4:$B$6</c:f>
              <c:numCache>
                <c:formatCode>\$#,##0</c:formatCode>
                <c:ptCount val="3"/>
                <c:pt idx="0">
                  <c:v>184849.71</c:v>
                </c:pt>
                <c:pt idx="1">
                  <c:v>276614.25</c:v>
                </c:pt>
                <c:pt idx="2">
                  <c:v>179046</c:v>
                </c:pt>
              </c:numCache>
            </c:numRef>
          </c:val>
        </c:ser>
        <c:gapWidth val="150"/>
        <c:overlap val="0"/>
        <c:axId val="23631124"/>
        <c:axId val="46484543"/>
      </c:barChart>
      <c:catAx>
        <c:axId val="236311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84543"/>
        <c:crosses val="autoZero"/>
        <c:auto val="1"/>
        <c:lblAlgn val="ctr"/>
        <c:lblOffset val="100"/>
        <c:noMultiLvlLbl val="0"/>
      </c:catAx>
      <c:valAx>
        <c:axId val="464845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311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Summary!$C$4:$C$6</c:f>
              <c:numCache>
                <c:formatCode>\$#,##0</c:formatCode>
                <c:ptCount val="3"/>
                <c:pt idx="0">
                  <c:v>16699.32</c:v>
                </c:pt>
                <c:pt idx="1">
                  <c:v>28834.54</c:v>
                </c:pt>
                <c:pt idx="2">
                  <c:v>19479.78</c:v>
                </c:pt>
              </c:numCache>
            </c:numRef>
          </c:val>
        </c:ser>
        <c:gapWidth val="150"/>
        <c:overlap val="0"/>
        <c:axId val="26855911"/>
        <c:axId val="34075283"/>
      </c:barChart>
      <c:catAx>
        <c:axId val="26855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75283"/>
        <c:crosses val="autoZero"/>
        <c:auto val="1"/>
        <c:lblAlgn val="ctr"/>
        <c:lblOffset val="100"/>
        <c:noMultiLvlLbl val="0"/>
      </c:catAx>
      <c:valAx>
        <c:axId val="34075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8559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Trend Over Time (Monthly)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1f4e78"/>
            </a:solidFill>
            <a:ln w="2196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Summary!$A$10:$A$45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Summary!$B$10:$B$45</c:f>
              <c:numCache>
                <c:formatCode>\$#,##0</c:formatCode>
                <c:ptCount val="36"/>
                <c:pt idx="0">
                  <c:v>17095.26</c:v>
                </c:pt>
                <c:pt idx="1">
                  <c:v>11628.88</c:v>
                </c:pt>
                <c:pt idx="2">
                  <c:v>16010.73</c:v>
                </c:pt>
                <c:pt idx="3">
                  <c:v>10487.67</c:v>
                </c:pt>
                <c:pt idx="4">
                  <c:v>13334.02</c:v>
                </c:pt>
                <c:pt idx="5">
                  <c:v>18530.48</c:v>
                </c:pt>
                <c:pt idx="6">
                  <c:v>12970.86</c:v>
                </c:pt>
                <c:pt idx="7">
                  <c:v>19393.35</c:v>
                </c:pt>
                <c:pt idx="8">
                  <c:v>13173.89</c:v>
                </c:pt>
                <c:pt idx="9">
                  <c:v>15542.18</c:v>
                </c:pt>
                <c:pt idx="10">
                  <c:v>16883.16</c:v>
                </c:pt>
                <c:pt idx="11">
                  <c:v>25903.78</c:v>
                </c:pt>
                <c:pt idx="12">
                  <c:v>7633.79</c:v>
                </c:pt>
                <c:pt idx="13">
                  <c:v>21795.45</c:v>
                </c:pt>
                <c:pt idx="14">
                  <c:v>11530.17</c:v>
                </c:pt>
                <c:pt idx="15">
                  <c:v>15456.11</c:v>
                </c:pt>
                <c:pt idx="16">
                  <c:v>20935.84</c:v>
                </c:pt>
                <c:pt idx="17">
                  <c:v>15858.79</c:v>
                </c:pt>
                <c:pt idx="18">
                  <c:v>15513.77</c:v>
                </c:pt>
                <c:pt idx="19">
                  <c:v>23874.77</c:v>
                </c:pt>
                <c:pt idx="20">
                  <c:v>15710.4</c:v>
                </c:pt>
                <c:pt idx="21">
                  <c:v>28653.73</c:v>
                </c:pt>
                <c:pt idx="22">
                  <c:v>11750.88</c:v>
                </c:pt>
                <c:pt idx="23">
                  <c:v>13138.92</c:v>
                </c:pt>
                <c:pt idx="24">
                  <c:v>16703.2</c:v>
                </c:pt>
                <c:pt idx="25">
                  <c:v>27210.97</c:v>
                </c:pt>
                <c:pt idx="26">
                  <c:v>20114.74</c:v>
                </c:pt>
                <c:pt idx="27">
                  <c:v>20073.59</c:v>
                </c:pt>
                <c:pt idx="28">
                  <c:v>23772.5</c:v>
                </c:pt>
                <c:pt idx="29">
                  <c:v>16677.2</c:v>
                </c:pt>
                <c:pt idx="30">
                  <c:v>14141.46</c:v>
                </c:pt>
                <c:pt idx="31">
                  <c:v>19215.67</c:v>
                </c:pt>
                <c:pt idx="32">
                  <c:v>21536.76</c:v>
                </c:pt>
                <c:pt idx="33">
                  <c:v>23426.91</c:v>
                </c:pt>
                <c:pt idx="34">
                  <c:v>26155.1</c:v>
                </c:pt>
                <c:pt idx="35">
                  <c:v>18674.98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162223"/>
        <c:axId val="65776207"/>
      </c:lineChart>
      <c:catAx>
        <c:axId val="431622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76207"/>
        <c:crosses val="autoZero"/>
        <c:auto val="1"/>
        <c:lblAlgn val="ctr"/>
        <c:lblOffset val="100"/>
        <c:noMultiLvlLbl val="0"/>
      </c:catAx>
      <c:valAx>
        <c:axId val="657762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622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6</xdr:col>
      <xdr:colOff>309240</xdr:colOff>
      <xdr:row>22</xdr:row>
      <xdr:rowOff>11160</xdr:rowOff>
    </xdr:to>
    <xdr:graphicFrame>
      <xdr:nvGraphicFramePr>
        <xdr:cNvPr id="0" name="Chart 1"/>
        <xdr:cNvGraphicFramePr/>
      </xdr:nvGraphicFramePr>
      <xdr:xfrm>
        <a:off x="0" y="1638360"/>
        <a:ext cx="467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6</xdr:row>
      <xdr:rowOff>0</xdr:rowOff>
    </xdr:from>
    <xdr:to>
      <xdr:col>12</xdr:col>
      <xdr:colOff>48240</xdr:colOff>
      <xdr:row>22</xdr:row>
      <xdr:rowOff>11160</xdr:rowOff>
    </xdr:to>
    <xdr:graphicFrame>
      <xdr:nvGraphicFramePr>
        <xdr:cNvPr id="1" name="Chart 2"/>
        <xdr:cNvGraphicFramePr/>
      </xdr:nvGraphicFramePr>
      <xdr:xfrm>
        <a:off x="4158720" y="1638360"/>
        <a:ext cx="467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12</xdr:col>
      <xdr:colOff>569520</xdr:colOff>
      <xdr:row>40</xdr:row>
      <xdr:rowOff>720</xdr:rowOff>
    </xdr:to>
    <xdr:graphicFrame>
      <xdr:nvGraphicFramePr>
        <xdr:cNvPr id="2" name="Chart 3"/>
        <xdr:cNvGraphicFramePr/>
      </xdr:nvGraphicFramePr>
      <xdr:xfrm>
        <a:off x="0" y="4876920"/>
        <a:ext cx="93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H501" headerRowCount="1" totalsRowCount="0" totalsRowShown="0">
  <autoFilter ref="A1:H501"/>
  <tableColumns count="8">
    <tableColumn id="1" name="Order ID"/>
    <tableColumn id="2" name="Order Date"/>
    <tableColumn id="3" name="Region"/>
    <tableColumn id="4" name="Category"/>
    <tableColumn id="5" name="Sub-Category"/>
    <tableColumn id="6" name="Sales"/>
    <tableColumn id="7" name="Quantity"/>
    <tableColumn id="8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3"/>
    <col collapsed="false" customWidth="true" hidden="false" outlineLevel="0" max="5" min="4" style="1" width="14"/>
    <col collapsed="false" customWidth="true" hidden="false" outlineLevel="0" max="6" min="6" style="1" width="3"/>
    <col collapsed="false" customWidth="true" hidden="false" outlineLevel="0" max="8" min="7" style="1" width="14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customFormat="false" ht="18" hidden="false" customHeight="true" outlineLevel="0" collapsed="false">
      <c r="A4" s="4" t="s">
        <v>2</v>
      </c>
      <c r="B4" s="4"/>
      <c r="D4" s="4" t="s">
        <v>3</v>
      </c>
      <c r="E4" s="4"/>
      <c r="G4" s="4" t="s">
        <v>4</v>
      </c>
      <c r="H4" s="4"/>
    </row>
    <row r="5" customFormat="false" ht="31.5" hidden="false" customHeight="true" outlineLevel="0" collapsed="false">
      <c r="A5" s="5" t="n">
        <f aca="false">SUM(SalesData[Sales])</f>
        <v>640509.96</v>
      </c>
      <c r="B5" s="5"/>
      <c r="D5" s="5" t="n">
        <f aca="false">SUM(SalesData[Profit])</f>
        <v>65013.64</v>
      </c>
      <c r="E5" s="5"/>
      <c r="G5" s="6" t="n">
        <f aca="false">D5/A5</f>
        <v>0.101502933693646</v>
      </c>
      <c r="H5" s="6"/>
    </row>
    <row r="40" customFormat="false" ht="15" hidden="false" customHeight="true" outlineLevel="0" collapsed="false">
      <c r="A40" s="7" t="s">
        <v>5</v>
      </c>
    </row>
  </sheetData>
  <mergeCells count="8">
    <mergeCell ref="A1:Z1"/>
    <mergeCell ref="A2:Z2"/>
    <mergeCell ref="A4:B4"/>
    <mergeCell ref="D4:E4"/>
    <mergeCell ref="G4:H4"/>
    <mergeCell ref="A5:B5"/>
    <mergeCell ref="D5:E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  <col collapsed="false" customWidth="true" hidden="false" outlineLevel="0" max="5" min="4" style="1" width="16"/>
    <col collapsed="false" customWidth="true" hidden="false" outlineLevel="0" max="8" min="6" style="1" width="14"/>
  </cols>
  <sheetData>
    <row r="1" customFormat="false" ht="15" hidden="false" customHeight="true" outlineLevel="0" collapsed="false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</row>
    <row r="2" customFormat="false" ht="15" hidden="false" customHeight="true" outlineLevel="0" collapsed="false">
      <c r="A2" s="1" t="s">
        <v>14</v>
      </c>
      <c r="B2" s="9" t="n">
        <v>44568</v>
      </c>
      <c r="C2" s="1" t="s">
        <v>15</v>
      </c>
      <c r="D2" s="1" t="s">
        <v>16</v>
      </c>
      <c r="E2" s="1" t="s">
        <v>17</v>
      </c>
      <c r="F2" s="1" t="n">
        <v>1554.16</v>
      </c>
      <c r="G2" s="1" t="n">
        <v>9</v>
      </c>
      <c r="H2" s="1" t="n">
        <v>430.35</v>
      </c>
    </row>
    <row r="3" customFormat="false" ht="15" hidden="false" customHeight="true" outlineLevel="0" collapsed="false">
      <c r="A3" s="1" t="s">
        <v>18</v>
      </c>
      <c r="B3" s="9" t="n">
        <v>44569</v>
      </c>
      <c r="C3" s="1" t="s">
        <v>19</v>
      </c>
      <c r="D3" s="1" t="s">
        <v>16</v>
      </c>
      <c r="E3" s="1" t="s">
        <v>20</v>
      </c>
      <c r="F3" s="1" t="n">
        <v>1898.13</v>
      </c>
      <c r="G3" s="1" t="n">
        <v>4</v>
      </c>
      <c r="H3" s="1" t="n">
        <v>-259.72</v>
      </c>
    </row>
    <row r="4" customFormat="false" ht="15" hidden="false" customHeight="true" outlineLevel="0" collapsed="false">
      <c r="A4" s="1" t="s">
        <v>21</v>
      </c>
      <c r="B4" s="9" t="n">
        <v>44570</v>
      </c>
      <c r="C4" s="1" t="s">
        <v>19</v>
      </c>
      <c r="D4" s="1" t="s">
        <v>22</v>
      </c>
      <c r="E4" s="1" t="s">
        <v>23</v>
      </c>
      <c r="F4" s="1" t="n">
        <v>1598.35</v>
      </c>
      <c r="G4" s="1" t="n">
        <v>9</v>
      </c>
      <c r="H4" s="1" t="n">
        <v>390.85</v>
      </c>
    </row>
    <row r="5" customFormat="false" ht="15" hidden="false" customHeight="true" outlineLevel="0" collapsed="false">
      <c r="A5" s="1" t="s">
        <v>24</v>
      </c>
      <c r="B5" s="9" t="n">
        <v>44572</v>
      </c>
      <c r="C5" s="1" t="s">
        <v>19</v>
      </c>
      <c r="D5" s="1" t="s">
        <v>22</v>
      </c>
      <c r="E5" s="1" t="s">
        <v>25</v>
      </c>
      <c r="F5" s="1" t="n">
        <v>644.46</v>
      </c>
      <c r="G5" s="1" t="n">
        <v>8</v>
      </c>
      <c r="H5" s="1" t="n">
        <v>-5.16</v>
      </c>
    </row>
    <row r="6" customFormat="false" ht="15" hidden="false" customHeight="true" outlineLevel="0" collapsed="false">
      <c r="A6" s="1" t="s">
        <v>26</v>
      </c>
      <c r="B6" s="9" t="n">
        <v>44573</v>
      </c>
      <c r="C6" s="1" t="s">
        <v>19</v>
      </c>
      <c r="D6" s="1" t="s">
        <v>27</v>
      </c>
      <c r="E6" s="1" t="s">
        <v>28</v>
      </c>
      <c r="F6" s="1" t="n">
        <v>1732.59</v>
      </c>
      <c r="G6" s="1" t="n">
        <v>8</v>
      </c>
      <c r="H6" s="1" t="n">
        <v>199.09</v>
      </c>
    </row>
    <row r="7" customFormat="false" ht="15" hidden="false" customHeight="true" outlineLevel="0" collapsed="false">
      <c r="A7" s="1" t="s">
        <v>29</v>
      </c>
      <c r="B7" s="9" t="n">
        <v>44576</v>
      </c>
      <c r="C7" s="1" t="s">
        <v>15</v>
      </c>
      <c r="D7" s="1" t="s">
        <v>22</v>
      </c>
      <c r="E7" s="1" t="s">
        <v>30</v>
      </c>
      <c r="F7" s="1" t="n">
        <v>2119.2</v>
      </c>
      <c r="G7" s="1" t="n">
        <v>8</v>
      </c>
      <c r="H7" s="1" t="n">
        <v>-340.68</v>
      </c>
    </row>
    <row r="8" customFormat="false" ht="15" hidden="false" customHeight="true" outlineLevel="0" collapsed="false">
      <c r="A8" s="1" t="s">
        <v>31</v>
      </c>
      <c r="B8" s="9" t="n">
        <v>44577</v>
      </c>
      <c r="C8" s="1" t="s">
        <v>15</v>
      </c>
      <c r="D8" s="1" t="s">
        <v>22</v>
      </c>
      <c r="E8" s="1" t="s">
        <v>32</v>
      </c>
      <c r="F8" s="1" t="n">
        <v>1660.9</v>
      </c>
      <c r="G8" s="1" t="n">
        <v>2</v>
      </c>
      <c r="H8" s="1" t="n">
        <v>442.63</v>
      </c>
    </row>
    <row r="9" customFormat="false" ht="15" hidden="false" customHeight="true" outlineLevel="0" collapsed="false">
      <c r="A9" s="1" t="s">
        <v>33</v>
      </c>
      <c r="B9" s="9" t="n">
        <v>44580</v>
      </c>
      <c r="C9" s="1" t="s">
        <v>34</v>
      </c>
      <c r="D9" s="1" t="s">
        <v>22</v>
      </c>
      <c r="E9" s="1" t="s">
        <v>30</v>
      </c>
      <c r="F9" s="1" t="n">
        <v>701.33</v>
      </c>
      <c r="G9" s="1" t="n">
        <v>8</v>
      </c>
      <c r="H9" s="1" t="n">
        <v>18.38</v>
      </c>
    </row>
    <row r="10" customFormat="false" ht="15" hidden="false" customHeight="true" outlineLevel="0" collapsed="false">
      <c r="A10" s="1" t="s">
        <v>35</v>
      </c>
      <c r="B10" s="9" t="n">
        <v>44584</v>
      </c>
      <c r="C10" s="1" t="s">
        <v>15</v>
      </c>
      <c r="D10" s="1" t="s">
        <v>22</v>
      </c>
      <c r="E10" s="1" t="s">
        <v>23</v>
      </c>
      <c r="F10" s="1" t="n">
        <v>1537.61</v>
      </c>
      <c r="G10" s="1" t="n">
        <v>7</v>
      </c>
      <c r="H10" s="1" t="n">
        <v>-270.39</v>
      </c>
    </row>
    <row r="11" customFormat="false" ht="15" hidden="false" customHeight="true" outlineLevel="0" collapsed="false">
      <c r="A11" s="1" t="s">
        <v>36</v>
      </c>
      <c r="B11" s="9" t="n">
        <v>44586</v>
      </c>
      <c r="C11" s="1" t="s">
        <v>34</v>
      </c>
      <c r="D11" s="1" t="s">
        <v>27</v>
      </c>
      <c r="E11" s="1" t="s">
        <v>28</v>
      </c>
      <c r="F11" s="1" t="n">
        <v>1347.63</v>
      </c>
      <c r="G11" s="1" t="n">
        <v>3</v>
      </c>
      <c r="H11" s="1" t="n">
        <v>-116.9</v>
      </c>
    </row>
    <row r="12" customFormat="false" ht="15" hidden="false" customHeight="true" outlineLevel="0" collapsed="false">
      <c r="A12" s="1" t="s">
        <v>37</v>
      </c>
      <c r="B12" s="9" t="n">
        <v>44587</v>
      </c>
      <c r="C12" s="1" t="s">
        <v>15</v>
      </c>
      <c r="D12" s="1" t="s">
        <v>22</v>
      </c>
      <c r="E12" s="1" t="s">
        <v>30</v>
      </c>
      <c r="F12" s="1" t="n">
        <v>1819.56</v>
      </c>
      <c r="G12" s="1" t="n">
        <v>3</v>
      </c>
      <c r="H12" s="1" t="n">
        <v>334.46</v>
      </c>
    </row>
    <row r="13" customFormat="false" ht="15" hidden="false" customHeight="true" outlineLevel="0" collapsed="false">
      <c r="A13" s="1" t="s">
        <v>38</v>
      </c>
      <c r="B13" s="9" t="n">
        <v>44592</v>
      </c>
      <c r="C13" s="1" t="s">
        <v>19</v>
      </c>
      <c r="D13" s="1" t="s">
        <v>27</v>
      </c>
      <c r="E13" s="1" t="s">
        <v>39</v>
      </c>
      <c r="F13" s="1" t="n">
        <v>481.34</v>
      </c>
      <c r="G13" s="1" t="n">
        <v>9</v>
      </c>
      <c r="H13" s="1" t="n">
        <v>65.68</v>
      </c>
    </row>
    <row r="14" customFormat="false" ht="15" hidden="false" customHeight="true" outlineLevel="0" collapsed="false">
      <c r="A14" s="1" t="s">
        <v>40</v>
      </c>
      <c r="B14" s="9" t="n">
        <v>44595</v>
      </c>
      <c r="C14" s="1" t="s">
        <v>41</v>
      </c>
      <c r="D14" s="1" t="s">
        <v>22</v>
      </c>
      <c r="E14" s="1" t="s">
        <v>25</v>
      </c>
      <c r="F14" s="1" t="n">
        <v>235.56</v>
      </c>
      <c r="G14" s="1" t="n">
        <v>8</v>
      </c>
      <c r="H14" s="1" t="n">
        <v>29.67</v>
      </c>
    </row>
    <row r="15" customFormat="false" ht="15" hidden="false" customHeight="true" outlineLevel="0" collapsed="false">
      <c r="A15" s="1" t="s">
        <v>42</v>
      </c>
      <c r="B15" s="9" t="n">
        <v>44600</v>
      </c>
      <c r="C15" s="1" t="s">
        <v>19</v>
      </c>
      <c r="D15" s="1" t="s">
        <v>16</v>
      </c>
      <c r="E15" s="1" t="s">
        <v>20</v>
      </c>
      <c r="F15" s="1" t="n">
        <v>1768.61</v>
      </c>
      <c r="G15" s="1" t="n">
        <v>3</v>
      </c>
      <c r="H15" s="1" t="n">
        <v>-134.23</v>
      </c>
    </row>
    <row r="16" customFormat="false" ht="15" hidden="false" customHeight="true" outlineLevel="0" collapsed="false">
      <c r="A16" s="1" t="s">
        <v>43</v>
      </c>
      <c r="B16" s="9" t="n">
        <v>44601</v>
      </c>
      <c r="C16" s="1" t="s">
        <v>15</v>
      </c>
      <c r="D16" s="1" t="s">
        <v>27</v>
      </c>
      <c r="E16" s="1" t="s">
        <v>28</v>
      </c>
      <c r="F16" s="1" t="n">
        <v>2158.08</v>
      </c>
      <c r="G16" s="1" t="n">
        <v>5</v>
      </c>
      <c r="H16" s="1" t="n">
        <v>683.38</v>
      </c>
    </row>
    <row r="17" customFormat="false" ht="15" hidden="false" customHeight="true" outlineLevel="0" collapsed="false">
      <c r="A17" s="1" t="s">
        <v>44</v>
      </c>
      <c r="B17" s="9" t="n">
        <v>44603</v>
      </c>
      <c r="C17" s="1" t="s">
        <v>34</v>
      </c>
      <c r="D17" s="1" t="s">
        <v>27</v>
      </c>
      <c r="E17" s="1" t="s">
        <v>45</v>
      </c>
      <c r="F17" s="1" t="n">
        <v>2060.01</v>
      </c>
      <c r="G17" s="1" t="n">
        <v>9</v>
      </c>
      <c r="H17" s="1" t="n">
        <v>248.77</v>
      </c>
    </row>
    <row r="18" customFormat="false" ht="15" hidden="false" customHeight="true" outlineLevel="0" collapsed="false">
      <c r="A18" s="1" t="s">
        <v>46</v>
      </c>
      <c r="B18" s="9" t="n">
        <v>44604</v>
      </c>
      <c r="C18" s="1" t="s">
        <v>19</v>
      </c>
      <c r="D18" s="1" t="s">
        <v>22</v>
      </c>
      <c r="E18" s="1" t="s">
        <v>23</v>
      </c>
      <c r="F18" s="1" t="n">
        <v>2131.59</v>
      </c>
      <c r="G18" s="1" t="n">
        <v>2</v>
      </c>
      <c r="H18" s="1" t="n">
        <v>-532.4</v>
      </c>
    </row>
    <row r="19" customFormat="false" ht="15" hidden="false" customHeight="true" outlineLevel="0" collapsed="false">
      <c r="A19" s="1" t="s">
        <v>47</v>
      </c>
      <c r="B19" s="9" t="n">
        <v>44606</v>
      </c>
      <c r="C19" s="1" t="s">
        <v>15</v>
      </c>
      <c r="D19" s="1" t="s">
        <v>22</v>
      </c>
      <c r="E19" s="1" t="s">
        <v>23</v>
      </c>
      <c r="F19" s="1" t="n">
        <v>295.28</v>
      </c>
      <c r="G19" s="1" t="n">
        <v>3</v>
      </c>
      <c r="H19" s="1" t="n">
        <v>93.24</v>
      </c>
    </row>
    <row r="20" customFormat="false" ht="15" hidden="false" customHeight="true" outlineLevel="0" collapsed="false">
      <c r="A20" s="1" t="s">
        <v>48</v>
      </c>
      <c r="B20" s="9" t="n">
        <v>44608</v>
      </c>
      <c r="C20" s="1" t="s">
        <v>41</v>
      </c>
      <c r="D20" s="1" t="s">
        <v>22</v>
      </c>
      <c r="E20" s="1" t="s">
        <v>25</v>
      </c>
      <c r="F20" s="1" t="n">
        <v>148.17</v>
      </c>
      <c r="G20" s="1" t="n">
        <v>7</v>
      </c>
      <c r="H20" s="1" t="n">
        <v>18.07</v>
      </c>
    </row>
    <row r="21" customFormat="false" ht="15" hidden="false" customHeight="true" outlineLevel="0" collapsed="false">
      <c r="A21" s="1" t="s">
        <v>49</v>
      </c>
      <c r="B21" s="9" t="n">
        <v>44608</v>
      </c>
      <c r="C21" s="1" t="s">
        <v>15</v>
      </c>
      <c r="D21" s="1" t="s">
        <v>16</v>
      </c>
      <c r="E21" s="1" t="s">
        <v>17</v>
      </c>
      <c r="F21" s="1" t="n">
        <v>203.02</v>
      </c>
      <c r="G21" s="1" t="n">
        <v>1</v>
      </c>
      <c r="H21" s="1" t="n">
        <v>27.96</v>
      </c>
    </row>
    <row r="22" customFormat="false" ht="15" hidden="false" customHeight="true" outlineLevel="0" collapsed="false">
      <c r="A22" s="1" t="s">
        <v>50</v>
      </c>
      <c r="B22" s="9" t="n">
        <v>44614</v>
      </c>
      <c r="C22" s="1" t="s">
        <v>19</v>
      </c>
      <c r="D22" s="1" t="s">
        <v>16</v>
      </c>
      <c r="E22" s="1" t="s">
        <v>20</v>
      </c>
      <c r="F22" s="1" t="n">
        <v>1299.34</v>
      </c>
      <c r="G22" s="1" t="n">
        <v>5</v>
      </c>
      <c r="H22" s="1" t="n">
        <v>-81.45</v>
      </c>
    </row>
    <row r="23" customFormat="false" ht="15" hidden="false" customHeight="true" outlineLevel="0" collapsed="false">
      <c r="A23" s="1" t="s">
        <v>51</v>
      </c>
      <c r="B23" s="9" t="n">
        <v>44615</v>
      </c>
      <c r="C23" s="1" t="s">
        <v>41</v>
      </c>
      <c r="D23" s="1" t="s">
        <v>22</v>
      </c>
      <c r="E23" s="1" t="s">
        <v>32</v>
      </c>
      <c r="F23" s="1" t="n">
        <v>482.37</v>
      </c>
      <c r="G23" s="1" t="n">
        <v>7</v>
      </c>
      <c r="H23" s="1" t="n">
        <v>142.64</v>
      </c>
    </row>
    <row r="24" customFormat="false" ht="15" hidden="false" customHeight="true" outlineLevel="0" collapsed="false">
      <c r="A24" s="1" t="s">
        <v>52</v>
      </c>
      <c r="B24" s="9" t="n">
        <v>44618</v>
      </c>
      <c r="C24" s="1" t="s">
        <v>19</v>
      </c>
      <c r="D24" s="1" t="s">
        <v>22</v>
      </c>
      <c r="E24" s="1" t="s">
        <v>25</v>
      </c>
      <c r="F24" s="1" t="n">
        <v>846.85</v>
      </c>
      <c r="G24" s="1" t="n">
        <v>3</v>
      </c>
      <c r="H24" s="1" t="n">
        <v>222.84</v>
      </c>
    </row>
    <row r="25" customFormat="false" ht="15" hidden="false" customHeight="true" outlineLevel="0" collapsed="false">
      <c r="A25" s="1" t="s">
        <v>53</v>
      </c>
      <c r="B25" s="9" t="n">
        <v>44624</v>
      </c>
      <c r="C25" s="1" t="s">
        <v>41</v>
      </c>
      <c r="D25" s="1" t="s">
        <v>27</v>
      </c>
      <c r="E25" s="1" t="s">
        <v>39</v>
      </c>
      <c r="F25" s="1" t="n">
        <v>2288.82</v>
      </c>
      <c r="G25" s="1" t="n">
        <v>6</v>
      </c>
      <c r="H25" s="1" t="n">
        <v>8.41</v>
      </c>
    </row>
    <row r="26" customFormat="false" ht="15" hidden="false" customHeight="true" outlineLevel="0" collapsed="false">
      <c r="A26" s="1" t="s">
        <v>54</v>
      </c>
      <c r="B26" s="9" t="n">
        <v>44628</v>
      </c>
      <c r="C26" s="1" t="s">
        <v>19</v>
      </c>
      <c r="D26" s="1" t="s">
        <v>27</v>
      </c>
      <c r="E26" s="1" t="s">
        <v>55</v>
      </c>
      <c r="F26" s="1" t="n">
        <v>1359.23</v>
      </c>
      <c r="G26" s="1" t="n">
        <v>3</v>
      </c>
      <c r="H26" s="1" t="n">
        <v>497.55</v>
      </c>
    </row>
    <row r="27" customFormat="false" ht="15" hidden="false" customHeight="true" outlineLevel="0" collapsed="false">
      <c r="A27" s="1" t="s">
        <v>56</v>
      </c>
      <c r="B27" s="9" t="n">
        <v>44629</v>
      </c>
      <c r="C27" s="1" t="s">
        <v>34</v>
      </c>
      <c r="D27" s="1" t="s">
        <v>27</v>
      </c>
      <c r="E27" s="1" t="s">
        <v>45</v>
      </c>
      <c r="F27" s="1" t="n">
        <v>1831.01</v>
      </c>
      <c r="G27" s="1" t="n">
        <v>8</v>
      </c>
      <c r="H27" s="1" t="n">
        <v>309.74</v>
      </c>
    </row>
    <row r="28" customFormat="false" ht="15" hidden="false" customHeight="true" outlineLevel="0" collapsed="false">
      <c r="A28" s="1" t="s">
        <v>57</v>
      </c>
      <c r="B28" s="9" t="n">
        <v>44630</v>
      </c>
      <c r="C28" s="1" t="s">
        <v>34</v>
      </c>
      <c r="D28" s="1" t="s">
        <v>16</v>
      </c>
      <c r="E28" s="1" t="s">
        <v>58</v>
      </c>
      <c r="F28" s="1" t="n">
        <v>1665.9</v>
      </c>
      <c r="G28" s="1" t="n">
        <v>1</v>
      </c>
      <c r="H28" s="1" t="n">
        <v>675.99</v>
      </c>
    </row>
    <row r="29" customFormat="false" ht="15" hidden="false" customHeight="true" outlineLevel="0" collapsed="false">
      <c r="A29" s="1" t="s">
        <v>59</v>
      </c>
      <c r="B29" s="9" t="n">
        <v>44634</v>
      </c>
      <c r="C29" s="1" t="s">
        <v>34</v>
      </c>
      <c r="D29" s="1" t="s">
        <v>16</v>
      </c>
      <c r="E29" s="1" t="s">
        <v>17</v>
      </c>
      <c r="F29" s="1" t="n">
        <v>232.43</v>
      </c>
      <c r="G29" s="1" t="n">
        <v>1</v>
      </c>
      <c r="H29" s="1" t="n">
        <v>87.38</v>
      </c>
    </row>
    <row r="30" customFormat="false" ht="15" hidden="false" customHeight="true" outlineLevel="0" collapsed="false">
      <c r="A30" s="1" t="s">
        <v>60</v>
      </c>
      <c r="B30" s="9" t="n">
        <v>44637</v>
      </c>
      <c r="C30" s="1" t="s">
        <v>15</v>
      </c>
      <c r="D30" s="1" t="s">
        <v>27</v>
      </c>
      <c r="E30" s="1" t="s">
        <v>45</v>
      </c>
      <c r="F30" s="1" t="n">
        <v>346.6</v>
      </c>
      <c r="G30" s="1" t="n">
        <v>3</v>
      </c>
      <c r="H30" s="1" t="n">
        <v>-29.83</v>
      </c>
    </row>
    <row r="31" customFormat="false" ht="15" hidden="false" customHeight="true" outlineLevel="0" collapsed="false">
      <c r="A31" s="1" t="s">
        <v>61</v>
      </c>
      <c r="B31" s="9" t="n">
        <v>44640</v>
      </c>
      <c r="C31" s="1" t="s">
        <v>19</v>
      </c>
      <c r="D31" s="1" t="s">
        <v>16</v>
      </c>
      <c r="E31" s="1" t="s">
        <v>20</v>
      </c>
      <c r="F31" s="1" t="n">
        <v>64.51</v>
      </c>
      <c r="G31" s="1" t="n">
        <v>4</v>
      </c>
      <c r="H31" s="1" t="n">
        <v>-10.43</v>
      </c>
    </row>
    <row r="32" customFormat="false" ht="15" hidden="false" customHeight="true" outlineLevel="0" collapsed="false">
      <c r="A32" s="1" t="s">
        <v>62</v>
      </c>
      <c r="B32" s="9" t="n">
        <v>44642</v>
      </c>
      <c r="C32" s="1" t="s">
        <v>15</v>
      </c>
      <c r="D32" s="1" t="s">
        <v>16</v>
      </c>
      <c r="E32" s="1" t="s">
        <v>17</v>
      </c>
      <c r="F32" s="1" t="n">
        <v>758.94</v>
      </c>
      <c r="G32" s="1" t="n">
        <v>4</v>
      </c>
      <c r="H32" s="1" t="n">
        <v>88.43</v>
      </c>
    </row>
    <row r="33" customFormat="false" ht="15" hidden="false" customHeight="true" outlineLevel="0" collapsed="false">
      <c r="A33" s="1" t="s">
        <v>63</v>
      </c>
      <c r="B33" s="9" t="n">
        <v>44643</v>
      </c>
      <c r="C33" s="1" t="s">
        <v>34</v>
      </c>
      <c r="D33" s="1" t="s">
        <v>27</v>
      </c>
      <c r="E33" s="1" t="s">
        <v>45</v>
      </c>
      <c r="F33" s="1" t="n">
        <v>32.76</v>
      </c>
      <c r="G33" s="1" t="n">
        <v>2</v>
      </c>
      <c r="H33" s="1" t="n">
        <v>10.61</v>
      </c>
    </row>
    <row r="34" customFormat="false" ht="15" hidden="false" customHeight="true" outlineLevel="0" collapsed="false">
      <c r="A34" s="1" t="s">
        <v>64</v>
      </c>
      <c r="B34" s="9" t="n">
        <v>44643</v>
      </c>
      <c r="C34" s="1" t="s">
        <v>34</v>
      </c>
      <c r="D34" s="1" t="s">
        <v>22</v>
      </c>
      <c r="E34" s="1" t="s">
        <v>32</v>
      </c>
      <c r="F34" s="1" t="n">
        <v>2166.63</v>
      </c>
      <c r="G34" s="1" t="n">
        <v>3</v>
      </c>
      <c r="H34" s="1" t="n">
        <v>945.77</v>
      </c>
    </row>
    <row r="35" customFormat="false" ht="15" hidden="false" customHeight="true" outlineLevel="0" collapsed="false">
      <c r="A35" s="1" t="s">
        <v>65</v>
      </c>
      <c r="B35" s="9" t="n">
        <v>44644</v>
      </c>
      <c r="C35" s="1" t="s">
        <v>19</v>
      </c>
      <c r="D35" s="1" t="s">
        <v>22</v>
      </c>
      <c r="E35" s="1" t="s">
        <v>25</v>
      </c>
      <c r="F35" s="1" t="n">
        <v>2296.83</v>
      </c>
      <c r="G35" s="1" t="n">
        <v>3</v>
      </c>
      <c r="H35" s="1" t="n">
        <v>-123.97</v>
      </c>
    </row>
    <row r="36" customFormat="false" ht="15" hidden="false" customHeight="true" outlineLevel="0" collapsed="false">
      <c r="A36" s="1" t="s">
        <v>66</v>
      </c>
      <c r="B36" s="9" t="n">
        <v>44645</v>
      </c>
      <c r="C36" s="1" t="s">
        <v>19</v>
      </c>
      <c r="D36" s="1" t="s">
        <v>22</v>
      </c>
      <c r="E36" s="1" t="s">
        <v>32</v>
      </c>
      <c r="F36" s="1" t="n">
        <v>2275.62</v>
      </c>
      <c r="G36" s="1" t="n">
        <v>3</v>
      </c>
      <c r="H36" s="1" t="n">
        <v>796.81</v>
      </c>
    </row>
    <row r="37" customFormat="false" ht="15" hidden="false" customHeight="true" outlineLevel="0" collapsed="false">
      <c r="A37" s="1" t="s">
        <v>67</v>
      </c>
      <c r="B37" s="9" t="n">
        <v>44648</v>
      </c>
      <c r="C37" s="1" t="s">
        <v>41</v>
      </c>
      <c r="D37" s="1" t="s">
        <v>16</v>
      </c>
      <c r="E37" s="1" t="s">
        <v>20</v>
      </c>
      <c r="F37" s="1" t="n">
        <v>691.45</v>
      </c>
      <c r="G37" s="1" t="n">
        <v>2</v>
      </c>
      <c r="H37" s="1" t="n">
        <v>138.84</v>
      </c>
    </row>
    <row r="38" customFormat="false" ht="15" hidden="false" customHeight="true" outlineLevel="0" collapsed="false">
      <c r="A38" s="1" t="s">
        <v>68</v>
      </c>
      <c r="B38" s="9" t="n">
        <v>44656</v>
      </c>
      <c r="C38" s="1" t="s">
        <v>41</v>
      </c>
      <c r="D38" s="1" t="s">
        <v>27</v>
      </c>
      <c r="E38" s="1" t="s">
        <v>45</v>
      </c>
      <c r="F38" s="1" t="n">
        <v>1034.21</v>
      </c>
      <c r="G38" s="1" t="n">
        <v>3</v>
      </c>
      <c r="H38" s="1" t="n">
        <v>300.25</v>
      </c>
    </row>
    <row r="39" customFormat="false" ht="15" hidden="false" customHeight="true" outlineLevel="0" collapsed="false">
      <c r="A39" s="1" t="s">
        <v>69</v>
      </c>
      <c r="B39" s="9" t="n">
        <v>44657</v>
      </c>
      <c r="C39" s="1" t="s">
        <v>34</v>
      </c>
      <c r="D39" s="1" t="s">
        <v>16</v>
      </c>
      <c r="E39" s="1" t="s">
        <v>17</v>
      </c>
      <c r="F39" s="1" t="n">
        <v>336.67</v>
      </c>
      <c r="G39" s="1" t="n">
        <v>7</v>
      </c>
      <c r="H39" s="1" t="n">
        <v>-25.25</v>
      </c>
    </row>
    <row r="40" customFormat="false" ht="15" hidden="false" customHeight="true" outlineLevel="0" collapsed="false">
      <c r="A40" s="1" t="s">
        <v>70</v>
      </c>
      <c r="B40" s="9" t="n">
        <v>44662</v>
      </c>
      <c r="C40" s="1" t="s">
        <v>34</v>
      </c>
      <c r="D40" s="1" t="s">
        <v>16</v>
      </c>
      <c r="E40" s="1" t="s">
        <v>71</v>
      </c>
      <c r="F40" s="1" t="n">
        <v>1848.84</v>
      </c>
      <c r="G40" s="1" t="n">
        <v>8</v>
      </c>
      <c r="H40" s="1" t="n">
        <v>200.7</v>
      </c>
    </row>
    <row r="41" customFormat="false" ht="15" hidden="false" customHeight="true" outlineLevel="0" collapsed="false">
      <c r="A41" s="1" t="s">
        <v>72</v>
      </c>
      <c r="B41" s="9" t="n">
        <v>44665</v>
      </c>
      <c r="C41" s="1" t="s">
        <v>34</v>
      </c>
      <c r="D41" s="1" t="s">
        <v>16</v>
      </c>
      <c r="E41" s="1" t="s">
        <v>17</v>
      </c>
      <c r="F41" s="1" t="n">
        <v>2130.3</v>
      </c>
      <c r="G41" s="1" t="n">
        <v>3</v>
      </c>
      <c r="H41" s="1" t="n">
        <v>862.65</v>
      </c>
    </row>
    <row r="42" customFormat="false" ht="15" hidden="false" customHeight="true" outlineLevel="0" collapsed="false">
      <c r="A42" s="1" t="s">
        <v>73</v>
      </c>
      <c r="B42" s="9" t="n">
        <v>44666</v>
      </c>
      <c r="C42" s="1" t="s">
        <v>41</v>
      </c>
      <c r="D42" s="1" t="s">
        <v>16</v>
      </c>
      <c r="E42" s="1" t="s">
        <v>71</v>
      </c>
      <c r="F42" s="1" t="n">
        <v>2425.39</v>
      </c>
      <c r="G42" s="1" t="n">
        <v>1</v>
      </c>
      <c r="H42" s="1" t="n">
        <v>823.38</v>
      </c>
    </row>
    <row r="43" customFormat="false" ht="15" hidden="false" customHeight="true" outlineLevel="0" collapsed="false">
      <c r="A43" s="1" t="s">
        <v>74</v>
      </c>
      <c r="B43" s="9" t="n">
        <v>44672</v>
      </c>
      <c r="C43" s="1" t="s">
        <v>41</v>
      </c>
      <c r="D43" s="1" t="s">
        <v>27</v>
      </c>
      <c r="E43" s="1" t="s">
        <v>55</v>
      </c>
      <c r="F43" s="1" t="n">
        <v>761.11</v>
      </c>
      <c r="G43" s="1" t="n">
        <v>7</v>
      </c>
      <c r="H43" s="1" t="n">
        <v>307.98</v>
      </c>
    </row>
    <row r="44" customFormat="false" ht="15" hidden="false" customHeight="true" outlineLevel="0" collapsed="false">
      <c r="A44" s="1" t="s">
        <v>75</v>
      </c>
      <c r="B44" s="9" t="n">
        <v>44672</v>
      </c>
      <c r="C44" s="1" t="s">
        <v>15</v>
      </c>
      <c r="D44" s="1" t="s">
        <v>22</v>
      </c>
      <c r="E44" s="1" t="s">
        <v>25</v>
      </c>
      <c r="F44" s="1" t="n">
        <v>835.3</v>
      </c>
      <c r="G44" s="1" t="n">
        <v>7</v>
      </c>
      <c r="H44" s="1" t="n">
        <v>161.53</v>
      </c>
    </row>
    <row r="45" customFormat="false" ht="15" hidden="false" customHeight="true" outlineLevel="0" collapsed="false">
      <c r="A45" s="1" t="s">
        <v>76</v>
      </c>
      <c r="B45" s="9" t="n">
        <v>44675</v>
      </c>
      <c r="C45" s="1" t="s">
        <v>15</v>
      </c>
      <c r="D45" s="1" t="s">
        <v>27</v>
      </c>
      <c r="E45" s="1" t="s">
        <v>39</v>
      </c>
      <c r="F45" s="1" t="n">
        <v>109.68</v>
      </c>
      <c r="G45" s="1" t="n">
        <v>2</v>
      </c>
      <c r="H45" s="1" t="n">
        <v>-4.15</v>
      </c>
    </row>
    <row r="46" customFormat="false" ht="15" hidden="false" customHeight="true" outlineLevel="0" collapsed="false">
      <c r="A46" s="1" t="s">
        <v>77</v>
      </c>
      <c r="B46" s="9" t="n">
        <v>44680</v>
      </c>
      <c r="C46" s="1" t="s">
        <v>34</v>
      </c>
      <c r="D46" s="1" t="s">
        <v>16</v>
      </c>
      <c r="E46" s="1" t="s">
        <v>17</v>
      </c>
      <c r="F46" s="1" t="n">
        <v>1006.17</v>
      </c>
      <c r="G46" s="1" t="n">
        <v>1</v>
      </c>
      <c r="H46" s="1" t="n">
        <v>285.37</v>
      </c>
    </row>
    <row r="47" customFormat="false" ht="15" hidden="false" customHeight="true" outlineLevel="0" collapsed="false">
      <c r="A47" s="1" t="s">
        <v>78</v>
      </c>
      <c r="B47" s="9" t="n">
        <v>44685</v>
      </c>
      <c r="C47" s="1" t="s">
        <v>15</v>
      </c>
      <c r="D47" s="1" t="s">
        <v>27</v>
      </c>
      <c r="E47" s="1" t="s">
        <v>39</v>
      </c>
      <c r="F47" s="1" t="n">
        <v>2091.99</v>
      </c>
      <c r="G47" s="1" t="n">
        <v>3</v>
      </c>
      <c r="H47" s="1" t="n">
        <v>19.41</v>
      </c>
    </row>
    <row r="48" customFormat="false" ht="15" hidden="false" customHeight="true" outlineLevel="0" collapsed="false">
      <c r="A48" s="1" t="s">
        <v>79</v>
      </c>
      <c r="B48" s="9" t="n">
        <v>44690</v>
      </c>
      <c r="C48" s="1" t="s">
        <v>41</v>
      </c>
      <c r="D48" s="1" t="s">
        <v>16</v>
      </c>
      <c r="E48" s="1" t="s">
        <v>20</v>
      </c>
      <c r="F48" s="1" t="n">
        <v>1837.59</v>
      </c>
      <c r="G48" s="1" t="n">
        <v>8</v>
      </c>
      <c r="H48" s="1" t="n">
        <v>-250.52</v>
      </c>
    </row>
    <row r="49" customFormat="false" ht="15" hidden="false" customHeight="true" outlineLevel="0" collapsed="false">
      <c r="A49" s="1" t="s">
        <v>80</v>
      </c>
      <c r="B49" s="9" t="n">
        <v>44692</v>
      </c>
      <c r="C49" s="1" t="s">
        <v>19</v>
      </c>
      <c r="D49" s="1" t="s">
        <v>27</v>
      </c>
      <c r="E49" s="1" t="s">
        <v>45</v>
      </c>
      <c r="F49" s="1" t="n">
        <v>2168.12</v>
      </c>
      <c r="G49" s="1" t="n">
        <v>5</v>
      </c>
      <c r="H49" s="1" t="n">
        <v>370.27</v>
      </c>
    </row>
    <row r="50" customFormat="false" ht="15" hidden="false" customHeight="true" outlineLevel="0" collapsed="false">
      <c r="A50" s="1" t="s">
        <v>81</v>
      </c>
      <c r="B50" s="9" t="n">
        <v>44692</v>
      </c>
      <c r="C50" s="1" t="s">
        <v>19</v>
      </c>
      <c r="D50" s="1" t="s">
        <v>16</v>
      </c>
      <c r="E50" s="1" t="s">
        <v>17</v>
      </c>
      <c r="F50" s="1" t="n">
        <v>1098.37</v>
      </c>
      <c r="G50" s="1" t="n">
        <v>5</v>
      </c>
      <c r="H50" s="1" t="n">
        <v>-85.14</v>
      </c>
    </row>
    <row r="51" customFormat="false" ht="15" hidden="false" customHeight="true" outlineLevel="0" collapsed="false">
      <c r="A51" s="1" t="s">
        <v>82</v>
      </c>
      <c r="B51" s="9" t="n">
        <v>44699</v>
      </c>
      <c r="C51" s="1" t="s">
        <v>19</v>
      </c>
      <c r="D51" s="1" t="s">
        <v>22</v>
      </c>
      <c r="E51" s="1" t="s">
        <v>23</v>
      </c>
      <c r="F51" s="1" t="n">
        <v>523.28</v>
      </c>
      <c r="G51" s="1" t="n">
        <v>3</v>
      </c>
      <c r="H51" s="1" t="n">
        <v>76.34</v>
      </c>
    </row>
    <row r="52" customFormat="false" ht="15" hidden="false" customHeight="true" outlineLevel="0" collapsed="false">
      <c r="A52" s="1" t="s">
        <v>83</v>
      </c>
      <c r="B52" s="9" t="n">
        <v>44702</v>
      </c>
      <c r="C52" s="1" t="s">
        <v>34</v>
      </c>
      <c r="D52" s="1" t="s">
        <v>16</v>
      </c>
      <c r="E52" s="1" t="s">
        <v>71</v>
      </c>
      <c r="F52" s="1" t="n">
        <v>1589.61</v>
      </c>
      <c r="G52" s="1" t="n">
        <v>8</v>
      </c>
      <c r="H52" s="1" t="n">
        <v>-320.59</v>
      </c>
    </row>
    <row r="53" customFormat="false" ht="15" hidden="false" customHeight="true" outlineLevel="0" collapsed="false">
      <c r="A53" s="1" t="s">
        <v>84</v>
      </c>
      <c r="B53" s="9" t="n">
        <v>44704</v>
      </c>
      <c r="C53" s="1" t="s">
        <v>19</v>
      </c>
      <c r="D53" s="1" t="s">
        <v>16</v>
      </c>
      <c r="E53" s="1" t="s">
        <v>20</v>
      </c>
      <c r="F53" s="1" t="n">
        <v>1298.88</v>
      </c>
      <c r="G53" s="1" t="n">
        <v>5</v>
      </c>
      <c r="H53" s="1" t="n">
        <v>511.21</v>
      </c>
    </row>
    <row r="54" customFormat="false" ht="15" hidden="false" customHeight="true" outlineLevel="0" collapsed="false">
      <c r="A54" s="1" t="s">
        <v>85</v>
      </c>
      <c r="B54" s="9" t="n">
        <v>44704</v>
      </c>
      <c r="C54" s="1" t="s">
        <v>19</v>
      </c>
      <c r="D54" s="1" t="s">
        <v>22</v>
      </c>
      <c r="E54" s="1" t="s">
        <v>25</v>
      </c>
      <c r="F54" s="1" t="n">
        <v>1427.5</v>
      </c>
      <c r="G54" s="1" t="n">
        <v>7</v>
      </c>
      <c r="H54" s="1" t="n">
        <v>332.07</v>
      </c>
    </row>
    <row r="55" customFormat="false" ht="15" hidden="false" customHeight="true" outlineLevel="0" collapsed="false">
      <c r="A55" s="1" t="s">
        <v>86</v>
      </c>
      <c r="B55" s="9" t="n">
        <v>44712</v>
      </c>
      <c r="C55" s="1" t="s">
        <v>34</v>
      </c>
      <c r="D55" s="1" t="s">
        <v>22</v>
      </c>
      <c r="E55" s="1" t="s">
        <v>23</v>
      </c>
      <c r="F55" s="1" t="n">
        <v>1298.68</v>
      </c>
      <c r="G55" s="1" t="n">
        <v>4</v>
      </c>
      <c r="H55" s="1" t="n">
        <v>119.73</v>
      </c>
    </row>
    <row r="56" customFormat="false" ht="15" hidden="false" customHeight="true" outlineLevel="0" collapsed="false">
      <c r="A56" s="1" t="s">
        <v>87</v>
      </c>
      <c r="B56" s="9" t="n">
        <v>44715</v>
      </c>
      <c r="C56" s="1" t="s">
        <v>34</v>
      </c>
      <c r="D56" s="1" t="s">
        <v>27</v>
      </c>
      <c r="E56" s="1" t="s">
        <v>55</v>
      </c>
      <c r="F56" s="1" t="n">
        <v>1086.66</v>
      </c>
      <c r="G56" s="1" t="n">
        <v>5</v>
      </c>
      <c r="H56" s="1" t="n">
        <v>415.79</v>
      </c>
    </row>
    <row r="57" customFormat="false" ht="15" hidden="false" customHeight="true" outlineLevel="0" collapsed="false">
      <c r="A57" s="1" t="s">
        <v>88</v>
      </c>
      <c r="B57" s="9" t="n">
        <v>44715</v>
      </c>
      <c r="C57" s="1" t="s">
        <v>19</v>
      </c>
      <c r="D57" s="1" t="s">
        <v>22</v>
      </c>
      <c r="E57" s="1" t="s">
        <v>30</v>
      </c>
      <c r="F57" s="1" t="n">
        <v>456.72</v>
      </c>
      <c r="G57" s="1" t="n">
        <v>4</v>
      </c>
      <c r="H57" s="1" t="n">
        <v>-45.78</v>
      </c>
    </row>
    <row r="58" customFormat="false" ht="15" hidden="false" customHeight="true" outlineLevel="0" collapsed="false">
      <c r="A58" s="1" t="s">
        <v>89</v>
      </c>
      <c r="B58" s="9" t="n">
        <v>44719</v>
      </c>
      <c r="C58" s="1" t="s">
        <v>15</v>
      </c>
      <c r="D58" s="1" t="s">
        <v>27</v>
      </c>
      <c r="E58" s="1" t="s">
        <v>39</v>
      </c>
      <c r="F58" s="1" t="n">
        <v>128.14</v>
      </c>
      <c r="G58" s="1" t="n">
        <v>5</v>
      </c>
      <c r="H58" s="1" t="n">
        <v>57.17</v>
      </c>
    </row>
    <row r="59" customFormat="false" ht="15" hidden="false" customHeight="true" outlineLevel="0" collapsed="false">
      <c r="A59" s="1" t="s">
        <v>90</v>
      </c>
      <c r="B59" s="9" t="n">
        <v>44720</v>
      </c>
      <c r="C59" s="1" t="s">
        <v>19</v>
      </c>
      <c r="D59" s="1" t="s">
        <v>27</v>
      </c>
      <c r="E59" s="1" t="s">
        <v>39</v>
      </c>
      <c r="F59" s="1" t="n">
        <v>2104.32</v>
      </c>
      <c r="G59" s="1" t="n">
        <v>8</v>
      </c>
      <c r="H59" s="1" t="n">
        <v>-269.49</v>
      </c>
    </row>
    <row r="60" customFormat="false" ht="15" hidden="false" customHeight="true" outlineLevel="0" collapsed="false">
      <c r="A60" s="1" t="s">
        <v>91</v>
      </c>
      <c r="B60" s="9" t="n">
        <v>44721</v>
      </c>
      <c r="C60" s="1" t="s">
        <v>41</v>
      </c>
      <c r="D60" s="1" t="s">
        <v>22</v>
      </c>
      <c r="E60" s="1" t="s">
        <v>30</v>
      </c>
      <c r="F60" s="1" t="n">
        <v>2200.55</v>
      </c>
      <c r="G60" s="1" t="n">
        <v>8</v>
      </c>
      <c r="H60" s="1" t="n">
        <v>490.52</v>
      </c>
    </row>
    <row r="61" customFormat="false" ht="15" hidden="false" customHeight="true" outlineLevel="0" collapsed="false">
      <c r="A61" s="1" t="s">
        <v>92</v>
      </c>
      <c r="B61" s="9" t="n">
        <v>44723</v>
      </c>
      <c r="C61" s="1" t="s">
        <v>19</v>
      </c>
      <c r="D61" s="1" t="s">
        <v>22</v>
      </c>
      <c r="E61" s="1" t="s">
        <v>25</v>
      </c>
      <c r="F61" s="1" t="n">
        <v>97.66</v>
      </c>
      <c r="G61" s="1" t="n">
        <v>4</v>
      </c>
      <c r="H61" s="1" t="n">
        <v>33.17</v>
      </c>
    </row>
    <row r="62" customFormat="false" ht="15" hidden="false" customHeight="true" outlineLevel="0" collapsed="false">
      <c r="A62" s="1" t="s">
        <v>93</v>
      </c>
      <c r="B62" s="9" t="n">
        <v>44723</v>
      </c>
      <c r="C62" s="1" t="s">
        <v>19</v>
      </c>
      <c r="D62" s="1" t="s">
        <v>22</v>
      </c>
      <c r="E62" s="1" t="s">
        <v>23</v>
      </c>
      <c r="F62" s="1" t="n">
        <v>1710.74</v>
      </c>
      <c r="G62" s="1" t="n">
        <v>6</v>
      </c>
      <c r="H62" s="1" t="n">
        <v>-292.45</v>
      </c>
    </row>
    <row r="63" customFormat="false" ht="15" hidden="false" customHeight="true" outlineLevel="0" collapsed="false">
      <c r="A63" s="1" t="s">
        <v>94</v>
      </c>
      <c r="B63" s="9" t="n">
        <v>44725</v>
      </c>
      <c r="C63" s="1" t="s">
        <v>19</v>
      </c>
      <c r="D63" s="1" t="s">
        <v>16</v>
      </c>
      <c r="E63" s="1" t="s">
        <v>17</v>
      </c>
      <c r="F63" s="1" t="n">
        <v>117.86</v>
      </c>
      <c r="G63" s="1" t="n">
        <v>3</v>
      </c>
      <c r="H63" s="1" t="n">
        <v>9.77</v>
      </c>
    </row>
    <row r="64" customFormat="false" ht="15" hidden="false" customHeight="true" outlineLevel="0" collapsed="false">
      <c r="A64" s="1" t="s">
        <v>95</v>
      </c>
      <c r="B64" s="9" t="n">
        <v>44725</v>
      </c>
      <c r="C64" s="1" t="s">
        <v>15</v>
      </c>
      <c r="D64" s="1" t="s">
        <v>27</v>
      </c>
      <c r="E64" s="1" t="s">
        <v>55</v>
      </c>
      <c r="F64" s="1" t="n">
        <v>732.1</v>
      </c>
      <c r="G64" s="1" t="n">
        <v>5</v>
      </c>
      <c r="H64" s="1" t="n">
        <v>223.29</v>
      </c>
    </row>
    <row r="65" customFormat="false" ht="15" hidden="false" customHeight="true" outlineLevel="0" collapsed="false">
      <c r="A65" s="1" t="s">
        <v>96</v>
      </c>
      <c r="B65" s="9" t="n">
        <v>44726</v>
      </c>
      <c r="C65" s="1" t="s">
        <v>15</v>
      </c>
      <c r="D65" s="1" t="s">
        <v>27</v>
      </c>
      <c r="E65" s="1" t="s">
        <v>39</v>
      </c>
      <c r="F65" s="1" t="n">
        <v>1521.73</v>
      </c>
      <c r="G65" s="1" t="n">
        <v>1</v>
      </c>
      <c r="H65" s="1" t="n">
        <v>-0.44</v>
      </c>
    </row>
    <row r="66" customFormat="false" ht="15" hidden="false" customHeight="true" outlineLevel="0" collapsed="false">
      <c r="A66" s="1" t="s">
        <v>97</v>
      </c>
      <c r="B66" s="9" t="n">
        <v>44731</v>
      </c>
      <c r="C66" s="1" t="s">
        <v>15</v>
      </c>
      <c r="D66" s="1" t="s">
        <v>16</v>
      </c>
      <c r="E66" s="1" t="s">
        <v>71</v>
      </c>
      <c r="F66" s="1" t="n">
        <v>1908.55</v>
      </c>
      <c r="G66" s="1" t="n">
        <v>2</v>
      </c>
      <c r="H66" s="1" t="n">
        <v>348.79</v>
      </c>
    </row>
    <row r="67" customFormat="false" ht="15" hidden="false" customHeight="true" outlineLevel="0" collapsed="false">
      <c r="A67" s="1" t="s">
        <v>98</v>
      </c>
      <c r="B67" s="9" t="n">
        <v>44732</v>
      </c>
      <c r="C67" s="1" t="s">
        <v>15</v>
      </c>
      <c r="D67" s="1" t="s">
        <v>22</v>
      </c>
      <c r="E67" s="1" t="s">
        <v>32</v>
      </c>
      <c r="F67" s="1" t="n">
        <v>42.42</v>
      </c>
      <c r="G67" s="1" t="n">
        <v>8</v>
      </c>
      <c r="H67" s="1" t="n">
        <v>0</v>
      </c>
    </row>
    <row r="68" customFormat="false" ht="15" hidden="false" customHeight="true" outlineLevel="0" collapsed="false">
      <c r="A68" s="1" t="s">
        <v>99</v>
      </c>
      <c r="B68" s="9" t="n">
        <v>44736</v>
      </c>
      <c r="C68" s="1" t="s">
        <v>19</v>
      </c>
      <c r="D68" s="1" t="s">
        <v>22</v>
      </c>
      <c r="E68" s="1" t="s">
        <v>25</v>
      </c>
      <c r="F68" s="1" t="n">
        <v>2145.68</v>
      </c>
      <c r="G68" s="1" t="n">
        <v>9</v>
      </c>
      <c r="H68" s="1" t="n">
        <v>327.75</v>
      </c>
    </row>
    <row r="69" customFormat="false" ht="15" hidden="false" customHeight="true" outlineLevel="0" collapsed="false">
      <c r="A69" s="1" t="s">
        <v>100</v>
      </c>
      <c r="B69" s="9" t="n">
        <v>44738</v>
      </c>
      <c r="C69" s="1" t="s">
        <v>41</v>
      </c>
      <c r="D69" s="1" t="s">
        <v>27</v>
      </c>
      <c r="E69" s="1" t="s">
        <v>39</v>
      </c>
      <c r="F69" s="1" t="n">
        <v>1948.45</v>
      </c>
      <c r="G69" s="1" t="n">
        <v>5</v>
      </c>
      <c r="H69" s="1" t="n">
        <v>168.07</v>
      </c>
    </row>
    <row r="70" customFormat="false" ht="15" hidden="false" customHeight="true" outlineLevel="0" collapsed="false">
      <c r="A70" s="1" t="s">
        <v>101</v>
      </c>
      <c r="B70" s="9" t="n">
        <v>44742</v>
      </c>
      <c r="C70" s="1" t="s">
        <v>19</v>
      </c>
      <c r="D70" s="1" t="s">
        <v>27</v>
      </c>
      <c r="E70" s="1" t="s">
        <v>45</v>
      </c>
      <c r="F70" s="1" t="n">
        <v>2328.9</v>
      </c>
      <c r="G70" s="1" t="n">
        <v>9</v>
      </c>
      <c r="H70" s="1" t="n">
        <v>56.54</v>
      </c>
    </row>
    <row r="71" customFormat="false" ht="15" hidden="false" customHeight="true" outlineLevel="0" collapsed="false">
      <c r="A71" s="1" t="s">
        <v>102</v>
      </c>
      <c r="B71" s="9" t="n">
        <v>44744</v>
      </c>
      <c r="C71" s="1" t="s">
        <v>41</v>
      </c>
      <c r="D71" s="1" t="s">
        <v>22</v>
      </c>
      <c r="E71" s="1" t="s">
        <v>32</v>
      </c>
      <c r="F71" s="1" t="n">
        <v>1903.84</v>
      </c>
      <c r="G71" s="1" t="n">
        <v>4</v>
      </c>
      <c r="H71" s="1" t="n">
        <v>-225.62</v>
      </c>
    </row>
    <row r="72" customFormat="false" ht="15" hidden="false" customHeight="true" outlineLevel="0" collapsed="false">
      <c r="A72" s="1" t="s">
        <v>103</v>
      </c>
      <c r="B72" s="9" t="n">
        <v>44750</v>
      </c>
      <c r="C72" s="1" t="s">
        <v>34</v>
      </c>
      <c r="D72" s="1" t="s">
        <v>22</v>
      </c>
      <c r="E72" s="1" t="s">
        <v>30</v>
      </c>
      <c r="F72" s="1" t="n">
        <v>255.73</v>
      </c>
      <c r="G72" s="1" t="n">
        <v>2</v>
      </c>
      <c r="H72" s="1" t="n">
        <v>84.06</v>
      </c>
    </row>
    <row r="73" customFormat="false" ht="15" hidden="false" customHeight="true" outlineLevel="0" collapsed="false">
      <c r="A73" s="1" t="s">
        <v>104</v>
      </c>
      <c r="B73" s="9" t="n">
        <v>44751</v>
      </c>
      <c r="C73" s="1" t="s">
        <v>15</v>
      </c>
      <c r="D73" s="1" t="s">
        <v>27</v>
      </c>
      <c r="E73" s="1" t="s">
        <v>55</v>
      </c>
      <c r="F73" s="1" t="n">
        <v>2013.11</v>
      </c>
      <c r="G73" s="1" t="n">
        <v>1</v>
      </c>
      <c r="H73" s="1" t="n">
        <v>-240.37</v>
      </c>
    </row>
    <row r="74" customFormat="false" ht="15" hidden="false" customHeight="true" outlineLevel="0" collapsed="false">
      <c r="A74" s="1" t="s">
        <v>105</v>
      </c>
      <c r="B74" s="9" t="n">
        <v>44755</v>
      </c>
      <c r="C74" s="1" t="s">
        <v>19</v>
      </c>
      <c r="D74" s="1" t="s">
        <v>22</v>
      </c>
      <c r="E74" s="1" t="s">
        <v>32</v>
      </c>
      <c r="F74" s="1" t="n">
        <v>1943.31</v>
      </c>
      <c r="G74" s="1" t="n">
        <v>1</v>
      </c>
      <c r="H74" s="1" t="n">
        <v>130.79</v>
      </c>
    </row>
    <row r="75" customFormat="false" ht="15" hidden="false" customHeight="true" outlineLevel="0" collapsed="false">
      <c r="A75" s="1" t="s">
        <v>106</v>
      </c>
      <c r="B75" s="9" t="n">
        <v>44759</v>
      </c>
      <c r="C75" s="1" t="s">
        <v>19</v>
      </c>
      <c r="D75" s="1" t="s">
        <v>27</v>
      </c>
      <c r="E75" s="1" t="s">
        <v>45</v>
      </c>
      <c r="F75" s="1" t="n">
        <v>2011.79</v>
      </c>
      <c r="G75" s="1" t="n">
        <v>1</v>
      </c>
      <c r="H75" s="1" t="n">
        <v>159.35</v>
      </c>
    </row>
    <row r="76" customFormat="false" ht="15" hidden="false" customHeight="true" outlineLevel="0" collapsed="false">
      <c r="A76" s="1" t="s">
        <v>107</v>
      </c>
      <c r="B76" s="9" t="n">
        <v>44760</v>
      </c>
      <c r="C76" s="1" t="s">
        <v>15</v>
      </c>
      <c r="D76" s="1" t="s">
        <v>16</v>
      </c>
      <c r="E76" s="1" t="s">
        <v>58</v>
      </c>
      <c r="F76" s="1" t="n">
        <v>2409.22</v>
      </c>
      <c r="G76" s="1" t="n">
        <v>8</v>
      </c>
      <c r="H76" s="1" t="n">
        <v>342.39</v>
      </c>
    </row>
    <row r="77" customFormat="false" ht="15" hidden="false" customHeight="true" outlineLevel="0" collapsed="false">
      <c r="A77" s="1" t="s">
        <v>108</v>
      </c>
      <c r="B77" s="9" t="n">
        <v>44763</v>
      </c>
      <c r="C77" s="1" t="s">
        <v>19</v>
      </c>
      <c r="D77" s="1" t="s">
        <v>22</v>
      </c>
      <c r="E77" s="1" t="s">
        <v>30</v>
      </c>
      <c r="F77" s="1" t="n">
        <v>1043.43</v>
      </c>
      <c r="G77" s="1" t="n">
        <v>3</v>
      </c>
      <c r="H77" s="1" t="n">
        <v>211.05</v>
      </c>
    </row>
    <row r="78" customFormat="false" ht="15" hidden="false" customHeight="true" outlineLevel="0" collapsed="false">
      <c r="A78" s="1" t="s">
        <v>109</v>
      </c>
      <c r="B78" s="9" t="n">
        <v>44771</v>
      </c>
      <c r="C78" s="1" t="s">
        <v>19</v>
      </c>
      <c r="D78" s="1" t="s">
        <v>16</v>
      </c>
      <c r="E78" s="1" t="s">
        <v>20</v>
      </c>
      <c r="F78" s="1" t="n">
        <v>701.27</v>
      </c>
      <c r="G78" s="1" t="n">
        <v>3</v>
      </c>
      <c r="H78" s="1" t="n">
        <v>220.81</v>
      </c>
    </row>
    <row r="79" customFormat="false" ht="15" hidden="false" customHeight="true" outlineLevel="0" collapsed="false">
      <c r="A79" s="1" t="s">
        <v>110</v>
      </c>
      <c r="B79" s="9" t="n">
        <v>44772</v>
      </c>
      <c r="C79" s="1" t="s">
        <v>19</v>
      </c>
      <c r="D79" s="1" t="s">
        <v>22</v>
      </c>
      <c r="E79" s="1" t="s">
        <v>30</v>
      </c>
      <c r="F79" s="1" t="n">
        <v>689.16</v>
      </c>
      <c r="G79" s="1" t="n">
        <v>8</v>
      </c>
      <c r="H79" s="1" t="n">
        <v>225.72</v>
      </c>
    </row>
    <row r="80" customFormat="false" ht="15" hidden="false" customHeight="true" outlineLevel="0" collapsed="false">
      <c r="A80" s="1" t="s">
        <v>111</v>
      </c>
      <c r="B80" s="9" t="n">
        <v>44775</v>
      </c>
      <c r="C80" s="1" t="s">
        <v>15</v>
      </c>
      <c r="D80" s="1" t="s">
        <v>22</v>
      </c>
      <c r="E80" s="1" t="s">
        <v>25</v>
      </c>
      <c r="F80" s="1" t="n">
        <v>693.49</v>
      </c>
      <c r="G80" s="1" t="n">
        <v>2</v>
      </c>
      <c r="H80" s="1" t="n">
        <v>56.19</v>
      </c>
    </row>
    <row r="81" customFormat="false" ht="15" hidden="false" customHeight="true" outlineLevel="0" collapsed="false">
      <c r="A81" s="1" t="s">
        <v>112</v>
      </c>
      <c r="B81" s="9" t="n">
        <v>44777</v>
      </c>
      <c r="C81" s="1" t="s">
        <v>41</v>
      </c>
      <c r="D81" s="1" t="s">
        <v>22</v>
      </c>
      <c r="E81" s="1" t="s">
        <v>25</v>
      </c>
      <c r="F81" s="1" t="n">
        <v>1368.57</v>
      </c>
      <c r="G81" s="1" t="n">
        <v>8</v>
      </c>
      <c r="H81" s="1" t="n">
        <v>486.04</v>
      </c>
    </row>
    <row r="82" customFormat="false" ht="15" hidden="false" customHeight="true" outlineLevel="0" collapsed="false">
      <c r="A82" s="1" t="s">
        <v>113</v>
      </c>
      <c r="B82" s="9" t="n">
        <v>44778</v>
      </c>
      <c r="C82" s="1" t="s">
        <v>34</v>
      </c>
      <c r="D82" s="1" t="s">
        <v>16</v>
      </c>
      <c r="E82" s="1" t="s">
        <v>71</v>
      </c>
      <c r="F82" s="1" t="n">
        <v>692.95</v>
      </c>
      <c r="G82" s="1" t="n">
        <v>9</v>
      </c>
      <c r="H82" s="1" t="n">
        <v>228.75</v>
      </c>
    </row>
    <row r="83" customFormat="false" ht="15" hidden="false" customHeight="true" outlineLevel="0" collapsed="false">
      <c r="A83" s="1" t="s">
        <v>114</v>
      </c>
      <c r="B83" s="9" t="n">
        <v>44778</v>
      </c>
      <c r="C83" s="1" t="s">
        <v>19</v>
      </c>
      <c r="D83" s="1" t="s">
        <v>27</v>
      </c>
      <c r="E83" s="1" t="s">
        <v>28</v>
      </c>
      <c r="F83" s="1" t="n">
        <v>666.57</v>
      </c>
      <c r="G83" s="1" t="n">
        <v>7</v>
      </c>
      <c r="H83" s="1" t="n">
        <v>-134.33</v>
      </c>
    </row>
    <row r="84" customFormat="false" ht="15" hidden="false" customHeight="true" outlineLevel="0" collapsed="false">
      <c r="A84" s="1" t="s">
        <v>115</v>
      </c>
      <c r="B84" s="9" t="n">
        <v>44778</v>
      </c>
      <c r="C84" s="1" t="s">
        <v>19</v>
      </c>
      <c r="D84" s="1" t="s">
        <v>16</v>
      </c>
      <c r="E84" s="1" t="s">
        <v>17</v>
      </c>
      <c r="F84" s="1" t="n">
        <v>1721.2</v>
      </c>
      <c r="G84" s="1" t="n">
        <v>9</v>
      </c>
      <c r="H84" s="1" t="n">
        <v>-409.36</v>
      </c>
    </row>
    <row r="85" customFormat="false" ht="15" hidden="false" customHeight="true" outlineLevel="0" collapsed="false">
      <c r="A85" s="1" t="s">
        <v>116</v>
      </c>
      <c r="B85" s="9" t="n">
        <v>44787</v>
      </c>
      <c r="C85" s="1" t="s">
        <v>15</v>
      </c>
      <c r="D85" s="1" t="s">
        <v>16</v>
      </c>
      <c r="E85" s="1" t="s">
        <v>58</v>
      </c>
      <c r="F85" s="1" t="n">
        <v>2362.94</v>
      </c>
      <c r="G85" s="1" t="n">
        <v>7</v>
      </c>
      <c r="H85" s="1" t="n">
        <v>182.37</v>
      </c>
    </row>
    <row r="86" customFormat="false" ht="15" hidden="false" customHeight="true" outlineLevel="0" collapsed="false">
      <c r="A86" s="1" t="s">
        <v>117</v>
      </c>
      <c r="B86" s="9" t="n">
        <v>44787</v>
      </c>
      <c r="C86" s="1" t="s">
        <v>15</v>
      </c>
      <c r="D86" s="1" t="s">
        <v>16</v>
      </c>
      <c r="E86" s="1" t="s">
        <v>58</v>
      </c>
      <c r="F86" s="1" t="n">
        <v>2232.28</v>
      </c>
      <c r="G86" s="1" t="n">
        <v>1</v>
      </c>
      <c r="H86" s="1" t="n">
        <v>428.14</v>
      </c>
    </row>
    <row r="87" customFormat="false" ht="15" hidden="false" customHeight="true" outlineLevel="0" collapsed="false">
      <c r="A87" s="1" t="s">
        <v>118</v>
      </c>
      <c r="B87" s="9" t="n">
        <v>44788</v>
      </c>
      <c r="C87" s="1" t="s">
        <v>34</v>
      </c>
      <c r="D87" s="1" t="s">
        <v>22</v>
      </c>
      <c r="E87" s="1" t="s">
        <v>30</v>
      </c>
      <c r="F87" s="1" t="n">
        <v>1260.99</v>
      </c>
      <c r="G87" s="1" t="n">
        <v>9</v>
      </c>
      <c r="H87" s="1" t="n">
        <v>66.72</v>
      </c>
    </row>
    <row r="88" customFormat="false" ht="15" hidden="false" customHeight="true" outlineLevel="0" collapsed="false">
      <c r="A88" s="1" t="s">
        <v>119</v>
      </c>
      <c r="B88" s="9" t="n">
        <v>44790</v>
      </c>
      <c r="C88" s="1" t="s">
        <v>34</v>
      </c>
      <c r="D88" s="1" t="s">
        <v>16</v>
      </c>
      <c r="E88" s="1" t="s">
        <v>58</v>
      </c>
      <c r="F88" s="1" t="n">
        <v>148.06</v>
      </c>
      <c r="G88" s="1" t="n">
        <v>8</v>
      </c>
      <c r="H88" s="1" t="n">
        <v>-35.12</v>
      </c>
    </row>
    <row r="89" customFormat="false" ht="15" hidden="false" customHeight="true" outlineLevel="0" collapsed="false">
      <c r="A89" s="1" t="s">
        <v>120</v>
      </c>
      <c r="B89" s="9" t="n">
        <v>44792</v>
      </c>
      <c r="C89" s="1" t="s">
        <v>15</v>
      </c>
      <c r="D89" s="1" t="s">
        <v>22</v>
      </c>
      <c r="E89" s="1" t="s">
        <v>23</v>
      </c>
      <c r="F89" s="1" t="n">
        <v>1744.88</v>
      </c>
      <c r="G89" s="1" t="n">
        <v>4</v>
      </c>
      <c r="H89" s="1" t="n">
        <v>-266.04</v>
      </c>
    </row>
    <row r="90" customFormat="false" ht="15" hidden="false" customHeight="true" outlineLevel="0" collapsed="false">
      <c r="A90" s="1" t="s">
        <v>121</v>
      </c>
      <c r="B90" s="9" t="n">
        <v>44792</v>
      </c>
      <c r="C90" s="1" t="s">
        <v>19</v>
      </c>
      <c r="D90" s="1" t="s">
        <v>16</v>
      </c>
      <c r="E90" s="1" t="s">
        <v>58</v>
      </c>
      <c r="F90" s="1" t="n">
        <v>1979.64</v>
      </c>
      <c r="G90" s="1" t="n">
        <v>9</v>
      </c>
      <c r="H90" s="1" t="n">
        <v>344.8</v>
      </c>
    </row>
    <row r="91" customFormat="false" ht="15" hidden="false" customHeight="true" outlineLevel="0" collapsed="false">
      <c r="A91" s="1" t="s">
        <v>122</v>
      </c>
      <c r="B91" s="9" t="n">
        <v>44796</v>
      </c>
      <c r="C91" s="1" t="s">
        <v>41</v>
      </c>
      <c r="D91" s="1" t="s">
        <v>22</v>
      </c>
      <c r="E91" s="1" t="s">
        <v>25</v>
      </c>
      <c r="F91" s="1" t="n">
        <v>514.05</v>
      </c>
      <c r="G91" s="1" t="n">
        <v>9</v>
      </c>
      <c r="H91" s="1" t="n">
        <v>191.82</v>
      </c>
    </row>
    <row r="92" customFormat="false" ht="15" hidden="false" customHeight="true" outlineLevel="0" collapsed="false">
      <c r="A92" s="1" t="s">
        <v>123</v>
      </c>
      <c r="B92" s="9" t="n">
        <v>44796</v>
      </c>
      <c r="C92" s="1" t="s">
        <v>15</v>
      </c>
      <c r="D92" s="1" t="s">
        <v>27</v>
      </c>
      <c r="E92" s="1" t="s">
        <v>55</v>
      </c>
      <c r="F92" s="1" t="n">
        <v>460.02</v>
      </c>
      <c r="G92" s="1" t="n">
        <v>6</v>
      </c>
      <c r="H92" s="1" t="n">
        <v>60.5</v>
      </c>
    </row>
    <row r="93" customFormat="false" ht="15" hidden="false" customHeight="true" outlineLevel="0" collapsed="false">
      <c r="A93" s="1" t="s">
        <v>124</v>
      </c>
      <c r="B93" s="9" t="n">
        <v>44798</v>
      </c>
      <c r="C93" s="1" t="s">
        <v>41</v>
      </c>
      <c r="D93" s="1" t="s">
        <v>22</v>
      </c>
      <c r="E93" s="1" t="s">
        <v>23</v>
      </c>
      <c r="F93" s="1" t="n">
        <v>1992.72</v>
      </c>
      <c r="G93" s="1" t="n">
        <v>3</v>
      </c>
      <c r="H93" s="1" t="n">
        <v>795.14</v>
      </c>
    </row>
    <row r="94" customFormat="false" ht="15" hidden="false" customHeight="true" outlineLevel="0" collapsed="false">
      <c r="A94" s="1" t="s">
        <v>125</v>
      </c>
      <c r="B94" s="9" t="n">
        <v>44803</v>
      </c>
      <c r="C94" s="1" t="s">
        <v>15</v>
      </c>
      <c r="D94" s="1" t="s">
        <v>27</v>
      </c>
      <c r="E94" s="1" t="s">
        <v>45</v>
      </c>
      <c r="F94" s="1" t="n">
        <v>1554.99</v>
      </c>
      <c r="G94" s="1" t="n">
        <v>5</v>
      </c>
      <c r="H94" s="1" t="n">
        <v>-36.62</v>
      </c>
    </row>
    <row r="95" customFormat="false" ht="15" hidden="false" customHeight="true" outlineLevel="0" collapsed="false">
      <c r="A95" s="1" t="s">
        <v>126</v>
      </c>
      <c r="B95" s="9" t="n">
        <v>44807</v>
      </c>
      <c r="C95" s="1" t="s">
        <v>15</v>
      </c>
      <c r="D95" s="1" t="s">
        <v>27</v>
      </c>
      <c r="E95" s="1" t="s">
        <v>45</v>
      </c>
      <c r="F95" s="1" t="n">
        <v>2275.45</v>
      </c>
      <c r="G95" s="1" t="n">
        <v>6</v>
      </c>
      <c r="H95" s="1" t="n">
        <v>581.38</v>
      </c>
    </row>
    <row r="96" customFormat="false" ht="15" hidden="false" customHeight="true" outlineLevel="0" collapsed="false">
      <c r="A96" s="1" t="s">
        <v>127</v>
      </c>
      <c r="B96" s="9" t="n">
        <v>44808</v>
      </c>
      <c r="C96" s="1" t="s">
        <v>34</v>
      </c>
      <c r="D96" s="1" t="s">
        <v>27</v>
      </c>
      <c r="E96" s="1" t="s">
        <v>28</v>
      </c>
      <c r="F96" s="1" t="n">
        <v>1593.98</v>
      </c>
      <c r="G96" s="1" t="n">
        <v>5</v>
      </c>
      <c r="H96" s="1" t="n">
        <v>-213.32</v>
      </c>
    </row>
    <row r="97" customFormat="false" ht="15" hidden="false" customHeight="true" outlineLevel="0" collapsed="false">
      <c r="A97" s="1" t="s">
        <v>128</v>
      </c>
      <c r="B97" s="9" t="n">
        <v>44810</v>
      </c>
      <c r="C97" s="1" t="s">
        <v>19</v>
      </c>
      <c r="D97" s="1" t="s">
        <v>22</v>
      </c>
      <c r="E97" s="1" t="s">
        <v>30</v>
      </c>
      <c r="F97" s="1" t="n">
        <v>1104.94</v>
      </c>
      <c r="G97" s="1" t="n">
        <v>1</v>
      </c>
      <c r="H97" s="1" t="n">
        <v>423.09</v>
      </c>
    </row>
    <row r="98" customFormat="false" ht="15" hidden="false" customHeight="true" outlineLevel="0" collapsed="false">
      <c r="A98" s="1" t="s">
        <v>129</v>
      </c>
      <c r="B98" s="9" t="n">
        <v>44819</v>
      </c>
      <c r="C98" s="1" t="s">
        <v>15</v>
      </c>
      <c r="D98" s="1" t="s">
        <v>22</v>
      </c>
      <c r="E98" s="1" t="s">
        <v>32</v>
      </c>
      <c r="F98" s="1" t="n">
        <v>424.08</v>
      </c>
      <c r="G98" s="1" t="n">
        <v>4</v>
      </c>
      <c r="H98" s="1" t="n">
        <v>-85.07</v>
      </c>
    </row>
    <row r="99" customFormat="false" ht="15" hidden="false" customHeight="true" outlineLevel="0" collapsed="false">
      <c r="A99" s="1" t="s">
        <v>130</v>
      </c>
      <c r="B99" s="9" t="n">
        <v>44820</v>
      </c>
      <c r="C99" s="1" t="s">
        <v>41</v>
      </c>
      <c r="D99" s="1" t="s">
        <v>22</v>
      </c>
      <c r="E99" s="1" t="s">
        <v>25</v>
      </c>
      <c r="F99" s="1" t="n">
        <v>805.57</v>
      </c>
      <c r="G99" s="1" t="n">
        <v>2</v>
      </c>
      <c r="H99" s="1" t="n">
        <v>281.97</v>
      </c>
    </row>
    <row r="100" customFormat="false" ht="15" hidden="false" customHeight="true" outlineLevel="0" collapsed="false">
      <c r="A100" s="1" t="s">
        <v>131</v>
      </c>
      <c r="B100" s="9" t="n">
        <v>44820</v>
      </c>
      <c r="C100" s="1" t="s">
        <v>15</v>
      </c>
      <c r="D100" s="1" t="s">
        <v>22</v>
      </c>
      <c r="E100" s="1" t="s">
        <v>30</v>
      </c>
      <c r="F100" s="1" t="n">
        <v>2331.4</v>
      </c>
      <c r="G100" s="1" t="n">
        <v>6</v>
      </c>
      <c r="H100" s="1" t="n">
        <v>-59.57</v>
      </c>
    </row>
    <row r="101" customFormat="false" ht="15" hidden="false" customHeight="true" outlineLevel="0" collapsed="false">
      <c r="A101" s="1" t="s">
        <v>132</v>
      </c>
      <c r="B101" s="9" t="n">
        <v>44823</v>
      </c>
      <c r="C101" s="1" t="s">
        <v>41</v>
      </c>
      <c r="D101" s="1" t="s">
        <v>27</v>
      </c>
      <c r="E101" s="1" t="s">
        <v>28</v>
      </c>
      <c r="F101" s="1" t="n">
        <v>96.77</v>
      </c>
      <c r="G101" s="1" t="n">
        <v>5</v>
      </c>
      <c r="H101" s="1" t="n">
        <v>2.09</v>
      </c>
    </row>
    <row r="102" customFormat="false" ht="15" hidden="false" customHeight="true" outlineLevel="0" collapsed="false">
      <c r="A102" s="1" t="s">
        <v>133</v>
      </c>
      <c r="B102" s="9" t="n">
        <v>44826</v>
      </c>
      <c r="C102" s="1" t="s">
        <v>41</v>
      </c>
      <c r="D102" s="1" t="s">
        <v>22</v>
      </c>
      <c r="E102" s="1" t="s">
        <v>23</v>
      </c>
      <c r="F102" s="1" t="n">
        <v>2397.18</v>
      </c>
      <c r="G102" s="1" t="n">
        <v>4</v>
      </c>
      <c r="H102" s="1" t="n">
        <v>822.23</v>
      </c>
    </row>
    <row r="103" customFormat="false" ht="15" hidden="false" customHeight="true" outlineLevel="0" collapsed="false">
      <c r="A103" s="1" t="s">
        <v>134</v>
      </c>
      <c r="B103" s="9" t="n">
        <v>44827</v>
      </c>
      <c r="C103" s="1" t="s">
        <v>15</v>
      </c>
      <c r="D103" s="1" t="s">
        <v>22</v>
      </c>
      <c r="E103" s="1" t="s">
        <v>30</v>
      </c>
      <c r="F103" s="1" t="n">
        <v>450.34</v>
      </c>
      <c r="G103" s="1" t="n">
        <v>2</v>
      </c>
      <c r="H103" s="1" t="n">
        <v>106.49</v>
      </c>
    </row>
    <row r="104" customFormat="false" ht="15" hidden="false" customHeight="true" outlineLevel="0" collapsed="false">
      <c r="A104" s="1" t="s">
        <v>135</v>
      </c>
      <c r="B104" s="9" t="n">
        <v>44831</v>
      </c>
      <c r="C104" s="1" t="s">
        <v>34</v>
      </c>
      <c r="D104" s="1" t="s">
        <v>27</v>
      </c>
      <c r="E104" s="1" t="s">
        <v>39</v>
      </c>
      <c r="F104" s="1" t="n">
        <v>366.64</v>
      </c>
      <c r="G104" s="1" t="n">
        <v>3</v>
      </c>
      <c r="H104" s="1" t="n">
        <v>112.44</v>
      </c>
    </row>
    <row r="105" customFormat="false" ht="15" hidden="false" customHeight="true" outlineLevel="0" collapsed="false">
      <c r="A105" s="1" t="s">
        <v>136</v>
      </c>
      <c r="B105" s="9" t="n">
        <v>44833</v>
      </c>
      <c r="C105" s="1" t="s">
        <v>34</v>
      </c>
      <c r="D105" s="1" t="s">
        <v>16</v>
      </c>
      <c r="E105" s="1" t="s">
        <v>71</v>
      </c>
      <c r="F105" s="1" t="n">
        <v>1327.54</v>
      </c>
      <c r="G105" s="1" t="n">
        <v>3</v>
      </c>
      <c r="H105" s="1" t="n">
        <v>32.26</v>
      </c>
    </row>
    <row r="106" customFormat="false" ht="15" hidden="false" customHeight="true" outlineLevel="0" collapsed="false">
      <c r="A106" s="1" t="s">
        <v>137</v>
      </c>
      <c r="B106" s="9" t="n">
        <v>44836</v>
      </c>
      <c r="C106" s="1" t="s">
        <v>15</v>
      </c>
      <c r="D106" s="1" t="s">
        <v>27</v>
      </c>
      <c r="E106" s="1" t="s">
        <v>45</v>
      </c>
      <c r="F106" s="1" t="n">
        <v>694.92</v>
      </c>
      <c r="G106" s="1" t="n">
        <v>1</v>
      </c>
      <c r="H106" s="1" t="n">
        <v>113.38</v>
      </c>
    </row>
    <row r="107" customFormat="false" ht="15" hidden="false" customHeight="true" outlineLevel="0" collapsed="false">
      <c r="A107" s="1" t="s">
        <v>138</v>
      </c>
      <c r="B107" s="9" t="n">
        <v>44838</v>
      </c>
      <c r="C107" s="1" t="s">
        <v>19</v>
      </c>
      <c r="D107" s="1" t="s">
        <v>16</v>
      </c>
      <c r="E107" s="1" t="s">
        <v>58</v>
      </c>
      <c r="F107" s="1" t="n">
        <v>871.06</v>
      </c>
      <c r="G107" s="1" t="n">
        <v>2</v>
      </c>
      <c r="H107" s="1" t="n">
        <v>226.84</v>
      </c>
    </row>
    <row r="108" customFormat="false" ht="15" hidden="false" customHeight="true" outlineLevel="0" collapsed="false">
      <c r="A108" s="1" t="s">
        <v>139</v>
      </c>
      <c r="B108" s="9" t="n">
        <v>44838</v>
      </c>
      <c r="C108" s="1" t="s">
        <v>34</v>
      </c>
      <c r="D108" s="1" t="s">
        <v>27</v>
      </c>
      <c r="E108" s="1" t="s">
        <v>45</v>
      </c>
      <c r="F108" s="1" t="n">
        <v>1253.19</v>
      </c>
      <c r="G108" s="1" t="n">
        <v>4</v>
      </c>
      <c r="H108" s="1" t="n">
        <v>-15.23</v>
      </c>
    </row>
    <row r="109" customFormat="false" ht="15" hidden="false" customHeight="true" outlineLevel="0" collapsed="false">
      <c r="A109" s="1" t="s">
        <v>140</v>
      </c>
      <c r="B109" s="9" t="n">
        <v>44839</v>
      </c>
      <c r="C109" s="1" t="s">
        <v>41</v>
      </c>
      <c r="D109" s="1" t="s">
        <v>27</v>
      </c>
      <c r="E109" s="1" t="s">
        <v>45</v>
      </c>
      <c r="F109" s="1" t="n">
        <v>393.68</v>
      </c>
      <c r="G109" s="1" t="n">
        <v>5</v>
      </c>
      <c r="H109" s="1" t="n">
        <v>-4.07</v>
      </c>
    </row>
    <row r="110" customFormat="false" ht="15" hidden="false" customHeight="true" outlineLevel="0" collapsed="false">
      <c r="A110" s="1" t="s">
        <v>141</v>
      </c>
      <c r="B110" s="9" t="n">
        <v>44840</v>
      </c>
      <c r="C110" s="1" t="s">
        <v>15</v>
      </c>
      <c r="D110" s="1" t="s">
        <v>16</v>
      </c>
      <c r="E110" s="1" t="s">
        <v>71</v>
      </c>
      <c r="F110" s="1" t="n">
        <v>611.72</v>
      </c>
      <c r="G110" s="1" t="n">
        <v>3</v>
      </c>
      <c r="H110" s="1" t="n">
        <v>138.18</v>
      </c>
    </row>
    <row r="111" customFormat="false" ht="15" hidden="false" customHeight="true" outlineLevel="0" collapsed="false">
      <c r="A111" s="1" t="s">
        <v>142</v>
      </c>
      <c r="B111" s="9" t="n">
        <v>44843</v>
      </c>
      <c r="C111" s="1" t="s">
        <v>15</v>
      </c>
      <c r="D111" s="1" t="s">
        <v>27</v>
      </c>
      <c r="E111" s="1" t="s">
        <v>28</v>
      </c>
      <c r="F111" s="1" t="n">
        <v>324.97</v>
      </c>
      <c r="G111" s="1" t="n">
        <v>1</v>
      </c>
      <c r="H111" s="1" t="n">
        <v>-28.67</v>
      </c>
    </row>
    <row r="112" customFormat="false" ht="15" hidden="false" customHeight="true" outlineLevel="0" collapsed="false">
      <c r="A112" s="1" t="s">
        <v>143</v>
      </c>
      <c r="B112" s="9" t="n">
        <v>44846</v>
      </c>
      <c r="C112" s="1" t="s">
        <v>15</v>
      </c>
      <c r="D112" s="1" t="s">
        <v>22</v>
      </c>
      <c r="E112" s="1" t="s">
        <v>32</v>
      </c>
      <c r="F112" s="1" t="n">
        <v>2403.75</v>
      </c>
      <c r="G112" s="1" t="n">
        <v>2</v>
      </c>
      <c r="H112" s="1" t="n">
        <v>922.43</v>
      </c>
    </row>
    <row r="113" customFormat="false" ht="15" hidden="false" customHeight="true" outlineLevel="0" collapsed="false">
      <c r="A113" s="1" t="s">
        <v>144</v>
      </c>
      <c r="B113" s="9" t="n">
        <v>44848</v>
      </c>
      <c r="C113" s="1" t="s">
        <v>41</v>
      </c>
      <c r="D113" s="1" t="s">
        <v>27</v>
      </c>
      <c r="E113" s="1" t="s">
        <v>39</v>
      </c>
      <c r="F113" s="1" t="n">
        <v>1285.87</v>
      </c>
      <c r="G113" s="1" t="n">
        <v>2</v>
      </c>
      <c r="H113" s="1" t="n">
        <v>242.53</v>
      </c>
    </row>
    <row r="114" customFormat="false" ht="15" hidden="false" customHeight="true" outlineLevel="0" collapsed="false">
      <c r="A114" s="1" t="s">
        <v>145</v>
      </c>
      <c r="B114" s="9" t="n">
        <v>44848</v>
      </c>
      <c r="C114" s="1" t="s">
        <v>41</v>
      </c>
      <c r="D114" s="1" t="s">
        <v>27</v>
      </c>
      <c r="E114" s="1" t="s">
        <v>55</v>
      </c>
      <c r="F114" s="1" t="n">
        <v>240.14</v>
      </c>
      <c r="G114" s="1" t="n">
        <v>9</v>
      </c>
      <c r="H114" s="1" t="n">
        <v>101.62</v>
      </c>
    </row>
    <row r="115" customFormat="false" ht="15" hidden="false" customHeight="true" outlineLevel="0" collapsed="false">
      <c r="A115" s="1" t="s">
        <v>146</v>
      </c>
      <c r="B115" s="9" t="n">
        <v>44850</v>
      </c>
      <c r="C115" s="1" t="s">
        <v>34</v>
      </c>
      <c r="D115" s="1" t="s">
        <v>16</v>
      </c>
      <c r="E115" s="1" t="s">
        <v>58</v>
      </c>
      <c r="F115" s="1" t="n">
        <v>2112.47</v>
      </c>
      <c r="G115" s="1" t="n">
        <v>2</v>
      </c>
      <c r="H115" s="1" t="n">
        <v>-152.56</v>
      </c>
    </row>
    <row r="116" customFormat="false" ht="15" hidden="false" customHeight="true" outlineLevel="0" collapsed="false">
      <c r="A116" s="1" t="s">
        <v>147</v>
      </c>
      <c r="B116" s="9" t="n">
        <v>44852</v>
      </c>
      <c r="C116" s="1" t="s">
        <v>34</v>
      </c>
      <c r="D116" s="1" t="s">
        <v>27</v>
      </c>
      <c r="E116" s="1" t="s">
        <v>55</v>
      </c>
      <c r="F116" s="1" t="n">
        <v>1681.84</v>
      </c>
      <c r="G116" s="1" t="n">
        <v>4</v>
      </c>
      <c r="H116" s="1" t="n">
        <v>673.95</v>
      </c>
    </row>
    <row r="117" customFormat="false" ht="15" hidden="false" customHeight="true" outlineLevel="0" collapsed="false">
      <c r="A117" s="1" t="s">
        <v>148</v>
      </c>
      <c r="B117" s="9" t="n">
        <v>44855</v>
      </c>
      <c r="C117" s="1" t="s">
        <v>15</v>
      </c>
      <c r="D117" s="1" t="s">
        <v>16</v>
      </c>
      <c r="E117" s="1" t="s">
        <v>58</v>
      </c>
      <c r="F117" s="1" t="n">
        <v>274.82</v>
      </c>
      <c r="G117" s="1" t="n">
        <v>7</v>
      </c>
      <c r="H117" s="1" t="n">
        <v>-32.34</v>
      </c>
    </row>
    <row r="118" customFormat="false" ht="15" hidden="false" customHeight="true" outlineLevel="0" collapsed="false">
      <c r="A118" s="1" t="s">
        <v>149</v>
      </c>
      <c r="B118" s="9" t="n">
        <v>44863</v>
      </c>
      <c r="C118" s="1" t="s">
        <v>34</v>
      </c>
      <c r="D118" s="1" t="s">
        <v>22</v>
      </c>
      <c r="E118" s="1" t="s">
        <v>32</v>
      </c>
      <c r="F118" s="1" t="n">
        <v>1892.5</v>
      </c>
      <c r="G118" s="1" t="n">
        <v>7</v>
      </c>
      <c r="H118" s="1" t="n">
        <v>136.97</v>
      </c>
    </row>
    <row r="119" customFormat="false" ht="15" hidden="false" customHeight="true" outlineLevel="0" collapsed="false">
      <c r="A119" s="1" t="s">
        <v>150</v>
      </c>
      <c r="B119" s="9" t="n">
        <v>44864</v>
      </c>
      <c r="C119" s="1" t="s">
        <v>41</v>
      </c>
      <c r="D119" s="1" t="s">
        <v>16</v>
      </c>
      <c r="E119" s="1" t="s">
        <v>71</v>
      </c>
      <c r="F119" s="1" t="n">
        <v>1501.25</v>
      </c>
      <c r="G119" s="1" t="n">
        <v>8</v>
      </c>
      <c r="H119" s="1" t="n">
        <v>661.12</v>
      </c>
    </row>
    <row r="120" customFormat="false" ht="15" hidden="false" customHeight="true" outlineLevel="0" collapsed="false">
      <c r="A120" s="1" t="s">
        <v>151</v>
      </c>
      <c r="B120" s="9" t="n">
        <v>44866</v>
      </c>
      <c r="C120" s="1" t="s">
        <v>34</v>
      </c>
      <c r="D120" s="1" t="s">
        <v>27</v>
      </c>
      <c r="E120" s="1" t="s">
        <v>28</v>
      </c>
      <c r="F120" s="1" t="n">
        <v>730.62</v>
      </c>
      <c r="G120" s="1" t="n">
        <v>6</v>
      </c>
      <c r="H120" s="1" t="n">
        <v>119.52</v>
      </c>
    </row>
    <row r="121" customFormat="false" ht="15" hidden="false" customHeight="true" outlineLevel="0" collapsed="false">
      <c r="A121" s="1" t="s">
        <v>152</v>
      </c>
      <c r="B121" s="9" t="n">
        <v>44866</v>
      </c>
      <c r="C121" s="1" t="s">
        <v>15</v>
      </c>
      <c r="D121" s="1" t="s">
        <v>27</v>
      </c>
      <c r="E121" s="1" t="s">
        <v>55</v>
      </c>
      <c r="F121" s="1" t="n">
        <v>864.16</v>
      </c>
      <c r="G121" s="1" t="n">
        <v>2</v>
      </c>
      <c r="H121" s="1" t="n">
        <v>111.46</v>
      </c>
    </row>
    <row r="122" customFormat="false" ht="15" hidden="false" customHeight="true" outlineLevel="0" collapsed="false">
      <c r="A122" s="1" t="s">
        <v>153</v>
      </c>
      <c r="B122" s="9" t="n">
        <v>44867</v>
      </c>
      <c r="C122" s="1" t="s">
        <v>19</v>
      </c>
      <c r="D122" s="1" t="s">
        <v>16</v>
      </c>
      <c r="E122" s="1" t="s">
        <v>20</v>
      </c>
      <c r="F122" s="1" t="n">
        <v>1834.68</v>
      </c>
      <c r="G122" s="1" t="n">
        <v>5</v>
      </c>
      <c r="H122" s="1" t="n">
        <v>364.08</v>
      </c>
    </row>
    <row r="123" customFormat="false" ht="15" hidden="false" customHeight="true" outlineLevel="0" collapsed="false">
      <c r="A123" s="1" t="s">
        <v>154</v>
      </c>
      <c r="B123" s="9" t="n">
        <v>44872</v>
      </c>
      <c r="C123" s="1" t="s">
        <v>41</v>
      </c>
      <c r="D123" s="1" t="s">
        <v>27</v>
      </c>
      <c r="E123" s="1" t="s">
        <v>28</v>
      </c>
      <c r="F123" s="1" t="n">
        <v>2172.99</v>
      </c>
      <c r="G123" s="1" t="n">
        <v>2</v>
      </c>
      <c r="H123" s="1" t="n">
        <v>-273.79</v>
      </c>
    </row>
    <row r="124" customFormat="false" ht="15" hidden="false" customHeight="true" outlineLevel="0" collapsed="false">
      <c r="A124" s="1" t="s">
        <v>155</v>
      </c>
      <c r="B124" s="9" t="n">
        <v>44874</v>
      </c>
      <c r="C124" s="1" t="s">
        <v>34</v>
      </c>
      <c r="D124" s="1" t="s">
        <v>22</v>
      </c>
      <c r="E124" s="1" t="s">
        <v>23</v>
      </c>
      <c r="F124" s="1" t="n">
        <v>1477.95</v>
      </c>
      <c r="G124" s="1" t="n">
        <v>6</v>
      </c>
      <c r="H124" s="1" t="n">
        <v>611.88</v>
      </c>
    </row>
    <row r="125" customFormat="false" ht="15" hidden="false" customHeight="true" outlineLevel="0" collapsed="false">
      <c r="A125" s="1" t="s">
        <v>156</v>
      </c>
      <c r="B125" s="9" t="n">
        <v>44876</v>
      </c>
      <c r="C125" s="1" t="s">
        <v>41</v>
      </c>
      <c r="D125" s="1" t="s">
        <v>16</v>
      </c>
      <c r="E125" s="1" t="s">
        <v>20</v>
      </c>
      <c r="F125" s="1" t="n">
        <v>2297.23</v>
      </c>
      <c r="G125" s="1" t="n">
        <v>9</v>
      </c>
      <c r="H125" s="1" t="n">
        <v>-410.6</v>
      </c>
    </row>
    <row r="126" customFormat="false" ht="15" hidden="false" customHeight="true" outlineLevel="0" collapsed="false">
      <c r="A126" s="1" t="s">
        <v>157</v>
      </c>
      <c r="B126" s="9" t="n">
        <v>44879</v>
      </c>
      <c r="C126" s="1" t="s">
        <v>34</v>
      </c>
      <c r="D126" s="1" t="s">
        <v>22</v>
      </c>
      <c r="E126" s="1" t="s">
        <v>30</v>
      </c>
      <c r="F126" s="1" t="n">
        <v>885.19</v>
      </c>
      <c r="G126" s="1" t="n">
        <v>2</v>
      </c>
      <c r="H126" s="1" t="n">
        <v>354.67</v>
      </c>
    </row>
    <row r="127" customFormat="false" ht="15" hidden="false" customHeight="true" outlineLevel="0" collapsed="false">
      <c r="A127" s="1" t="s">
        <v>158</v>
      </c>
      <c r="B127" s="9" t="n">
        <v>44882</v>
      </c>
      <c r="C127" s="1" t="s">
        <v>15</v>
      </c>
      <c r="D127" s="1" t="s">
        <v>27</v>
      </c>
      <c r="E127" s="1" t="s">
        <v>39</v>
      </c>
      <c r="F127" s="1" t="n">
        <v>1848.21</v>
      </c>
      <c r="G127" s="1" t="n">
        <v>5</v>
      </c>
      <c r="H127" s="1" t="n">
        <v>532.32</v>
      </c>
    </row>
    <row r="128" customFormat="false" ht="15" hidden="false" customHeight="true" outlineLevel="0" collapsed="false">
      <c r="A128" s="1" t="s">
        <v>159</v>
      </c>
      <c r="B128" s="9" t="n">
        <v>44885</v>
      </c>
      <c r="C128" s="1" t="s">
        <v>19</v>
      </c>
      <c r="D128" s="1" t="s">
        <v>27</v>
      </c>
      <c r="E128" s="1" t="s">
        <v>45</v>
      </c>
      <c r="F128" s="1" t="n">
        <v>1178.93</v>
      </c>
      <c r="G128" s="1" t="n">
        <v>5</v>
      </c>
      <c r="H128" s="1" t="n">
        <v>-49.63</v>
      </c>
    </row>
    <row r="129" customFormat="false" ht="15" hidden="false" customHeight="true" outlineLevel="0" collapsed="false">
      <c r="A129" s="1" t="s">
        <v>160</v>
      </c>
      <c r="B129" s="9" t="n">
        <v>44885</v>
      </c>
      <c r="C129" s="1" t="s">
        <v>15</v>
      </c>
      <c r="D129" s="1" t="s">
        <v>16</v>
      </c>
      <c r="E129" s="1" t="s">
        <v>71</v>
      </c>
      <c r="F129" s="1" t="n">
        <v>1418.9</v>
      </c>
      <c r="G129" s="1" t="n">
        <v>2</v>
      </c>
      <c r="H129" s="1" t="n">
        <v>1.43</v>
      </c>
    </row>
    <row r="130" customFormat="false" ht="15" hidden="false" customHeight="true" outlineLevel="0" collapsed="false">
      <c r="A130" s="1" t="s">
        <v>161</v>
      </c>
      <c r="B130" s="9" t="n">
        <v>44889</v>
      </c>
      <c r="C130" s="1" t="s">
        <v>41</v>
      </c>
      <c r="D130" s="1" t="s">
        <v>16</v>
      </c>
      <c r="E130" s="1" t="s">
        <v>20</v>
      </c>
      <c r="F130" s="1" t="n">
        <v>1032.96</v>
      </c>
      <c r="G130" s="1" t="n">
        <v>5</v>
      </c>
      <c r="H130" s="1" t="n">
        <v>11.24</v>
      </c>
    </row>
    <row r="131" customFormat="false" ht="15" hidden="false" customHeight="true" outlineLevel="0" collapsed="false">
      <c r="A131" s="1" t="s">
        <v>162</v>
      </c>
      <c r="B131" s="9" t="n">
        <v>44893</v>
      </c>
      <c r="C131" s="1" t="s">
        <v>19</v>
      </c>
      <c r="D131" s="1" t="s">
        <v>27</v>
      </c>
      <c r="E131" s="1" t="s">
        <v>45</v>
      </c>
      <c r="F131" s="1" t="n">
        <v>1058.99</v>
      </c>
      <c r="G131" s="1" t="n">
        <v>3</v>
      </c>
      <c r="H131" s="1" t="n">
        <v>292.1</v>
      </c>
    </row>
    <row r="132" customFormat="false" ht="15" hidden="false" customHeight="true" outlineLevel="0" collapsed="false">
      <c r="A132" s="1" t="s">
        <v>163</v>
      </c>
      <c r="B132" s="9" t="n">
        <v>44893</v>
      </c>
      <c r="C132" s="1" t="s">
        <v>19</v>
      </c>
      <c r="D132" s="1" t="s">
        <v>16</v>
      </c>
      <c r="E132" s="1" t="s">
        <v>71</v>
      </c>
      <c r="F132" s="1" t="n">
        <v>82.35</v>
      </c>
      <c r="G132" s="1" t="n">
        <v>9</v>
      </c>
      <c r="H132" s="1" t="n">
        <v>19.44</v>
      </c>
    </row>
    <row r="133" customFormat="false" ht="15" hidden="false" customHeight="true" outlineLevel="0" collapsed="false">
      <c r="A133" s="1" t="s">
        <v>164</v>
      </c>
      <c r="B133" s="9" t="n">
        <v>44896</v>
      </c>
      <c r="C133" s="1" t="s">
        <v>15</v>
      </c>
      <c r="D133" s="1" t="s">
        <v>16</v>
      </c>
      <c r="E133" s="1" t="s">
        <v>20</v>
      </c>
      <c r="F133" s="1" t="n">
        <v>1428.5</v>
      </c>
      <c r="G133" s="1" t="n">
        <v>7</v>
      </c>
      <c r="H133" s="1" t="n">
        <v>558.32</v>
      </c>
    </row>
    <row r="134" customFormat="false" ht="15" hidden="false" customHeight="true" outlineLevel="0" collapsed="false">
      <c r="A134" s="1" t="s">
        <v>165</v>
      </c>
      <c r="B134" s="9" t="n">
        <v>44898</v>
      </c>
      <c r="C134" s="1" t="s">
        <v>19</v>
      </c>
      <c r="D134" s="1" t="s">
        <v>22</v>
      </c>
      <c r="E134" s="1" t="s">
        <v>23</v>
      </c>
      <c r="F134" s="1" t="n">
        <v>2186.47</v>
      </c>
      <c r="G134" s="1" t="n">
        <v>4</v>
      </c>
      <c r="H134" s="1" t="n">
        <v>862.8</v>
      </c>
    </row>
    <row r="135" customFormat="false" ht="15" hidden="false" customHeight="true" outlineLevel="0" collapsed="false">
      <c r="A135" s="1" t="s">
        <v>166</v>
      </c>
      <c r="B135" s="9" t="n">
        <v>44900</v>
      </c>
      <c r="C135" s="1" t="s">
        <v>34</v>
      </c>
      <c r="D135" s="1" t="s">
        <v>16</v>
      </c>
      <c r="E135" s="1" t="s">
        <v>20</v>
      </c>
      <c r="F135" s="1" t="n">
        <v>221.74</v>
      </c>
      <c r="G135" s="1" t="n">
        <v>1</v>
      </c>
      <c r="H135" s="1" t="n">
        <v>-42.27</v>
      </c>
    </row>
    <row r="136" customFormat="false" ht="15" hidden="false" customHeight="true" outlineLevel="0" collapsed="false">
      <c r="A136" s="1" t="s">
        <v>167</v>
      </c>
      <c r="B136" s="9" t="n">
        <v>44901</v>
      </c>
      <c r="C136" s="1" t="s">
        <v>15</v>
      </c>
      <c r="D136" s="1" t="s">
        <v>27</v>
      </c>
      <c r="E136" s="1" t="s">
        <v>39</v>
      </c>
      <c r="F136" s="1" t="n">
        <v>1925.32</v>
      </c>
      <c r="G136" s="1" t="n">
        <v>1</v>
      </c>
      <c r="H136" s="1" t="n">
        <v>81.7</v>
      </c>
    </row>
    <row r="137" customFormat="false" ht="15" hidden="false" customHeight="true" outlineLevel="0" collapsed="false">
      <c r="A137" s="1" t="s">
        <v>168</v>
      </c>
      <c r="B137" s="9" t="n">
        <v>44903</v>
      </c>
      <c r="C137" s="1" t="s">
        <v>41</v>
      </c>
      <c r="D137" s="1" t="s">
        <v>22</v>
      </c>
      <c r="E137" s="1" t="s">
        <v>32</v>
      </c>
      <c r="F137" s="1" t="n">
        <v>1104.96</v>
      </c>
      <c r="G137" s="1" t="n">
        <v>4</v>
      </c>
      <c r="H137" s="1" t="n">
        <v>406.53</v>
      </c>
    </row>
    <row r="138" customFormat="false" ht="15" hidden="false" customHeight="true" outlineLevel="0" collapsed="false">
      <c r="A138" s="1" t="s">
        <v>169</v>
      </c>
      <c r="B138" s="9" t="n">
        <v>44907</v>
      </c>
      <c r="C138" s="1" t="s">
        <v>34</v>
      </c>
      <c r="D138" s="1" t="s">
        <v>22</v>
      </c>
      <c r="E138" s="1" t="s">
        <v>25</v>
      </c>
      <c r="F138" s="1" t="n">
        <v>659.7</v>
      </c>
      <c r="G138" s="1" t="n">
        <v>9</v>
      </c>
      <c r="H138" s="1" t="n">
        <v>139.85</v>
      </c>
    </row>
    <row r="139" customFormat="false" ht="15" hidden="false" customHeight="true" outlineLevel="0" collapsed="false">
      <c r="A139" s="1" t="s">
        <v>170</v>
      </c>
      <c r="B139" s="9" t="n">
        <v>44910</v>
      </c>
      <c r="C139" s="1" t="s">
        <v>41</v>
      </c>
      <c r="D139" s="1" t="s">
        <v>16</v>
      </c>
      <c r="E139" s="1" t="s">
        <v>20</v>
      </c>
      <c r="F139" s="1" t="n">
        <v>1247.96</v>
      </c>
      <c r="G139" s="1" t="n">
        <v>3</v>
      </c>
      <c r="H139" s="1" t="n">
        <v>107.84</v>
      </c>
    </row>
    <row r="140" customFormat="false" ht="15" hidden="false" customHeight="true" outlineLevel="0" collapsed="false">
      <c r="A140" s="1" t="s">
        <v>171</v>
      </c>
      <c r="B140" s="9" t="n">
        <v>44911</v>
      </c>
      <c r="C140" s="1" t="s">
        <v>41</v>
      </c>
      <c r="D140" s="1" t="s">
        <v>22</v>
      </c>
      <c r="E140" s="1" t="s">
        <v>23</v>
      </c>
      <c r="F140" s="1" t="n">
        <v>418.49</v>
      </c>
      <c r="G140" s="1" t="n">
        <v>8</v>
      </c>
      <c r="H140" s="1" t="n">
        <v>-49.97</v>
      </c>
    </row>
    <row r="141" customFormat="false" ht="15" hidden="false" customHeight="true" outlineLevel="0" collapsed="false">
      <c r="A141" s="1" t="s">
        <v>172</v>
      </c>
      <c r="B141" s="9" t="n">
        <v>44911</v>
      </c>
      <c r="C141" s="1" t="s">
        <v>41</v>
      </c>
      <c r="D141" s="1" t="s">
        <v>16</v>
      </c>
      <c r="E141" s="1" t="s">
        <v>20</v>
      </c>
      <c r="F141" s="1" t="n">
        <v>696.11</v>
      </c>
      <c r="G141" s="1" t="n">
        <v>7</v>
      </c>
      <c r="H141" s="1" t="n">
        <v>27.49</v>
      </c>
    </row>
    <row r="142" customFormat="false" ht="15" hidden="false" customHeight="true" outlineLevel="0" collapsed="false">
      <c r="A142" s="1" t="s">
        <v>173</v>
      </c>
      <c r="B142" s="9" t="n">
        <v>44915</v>
      </c>
      <c r="C142" s="1" t="s">
        <v>41</v>
      </c>
      <c r="D142" s="1" t="s">
        <v>27</v>
      </c>
      <c r="E142" s="1" t="s">
        <v>45</v>
      </c>
      <c r="F142" s="1" t="n">
        <v>413.39</v>
      </c>
      <c r="G142" s="1" t="n">
        <v>9</v>
      </c>
      <c r="H142" s="1" t="n">
        <v>151.88</v>
      </c>
    </row>
    <row r="143" customFormat="false" ht="15" hidden="false" customHeight="true" outlineLevel="0" collapsed="false">
      <c r="A143" s="1" t="s">
        <v>174</v>
      </c>
      <c r="B143" s="9" t="n">
        <v>44915</v>
      </c>
      <c r="C143" s="1" t="s">
        <v>41</v>
      </c>
      <c r="D143" s="1" t="s">
        <v>27</v>
      </c>
      <c r="E143" s="1" t="s">
        <v>28</v>
      </c>
      <c r="F143" s="1" t="n">
        <v>2485.47</v>
      </c>
      <c r="G143" s="1" t="n">
        <v>4</v>
      </c>
      <c r="H143" s="1" t="n">
        <v>530.12</v>
      </c>
    </row>
    <row r="144" customFormat="false" ht="15" hidden="false" customHeight="true" outlineLevel="0" collapsed="false">
      <c r="A144" s="1" t="s">
        <v>175</v>
      </c>
      <c r="B144" s="9" t="n">
        <v>44918</v>
      </c>
      <c r="C144" s="1" t="s">
        <v>41</v>
      </c>
      <c r="D144" s="1" t="s">
        <v>22</v>
      </c>
      <c r="E144" s="1" t="s">
        <v>25</v>
      </c>
      <c r="F144" s="1" t="n">
        <v>1913.14</v>
      </c>
      <c r="G144" s="1" t="n">
        <v>6</v>
      </c>
      <c r="H144" s="1" t="n">
        <v>602.33</v>
      </c>
    </row>
    <row r="145" customFormat="false" ht="15" hidden="false" customHeight="true" outlineLevel="0" collapsed="false">
      <c r="A145" s="1" t="s">
        <v>176</v>
      </c>
      <c r="B145" s="9" t="n">
        <v>44922</v>
      </c>
      <c r="C145" s="1" t="s">
        <v>41</v>
      </c>
      <c r="D145" s="1" t="s">
        <v>22</v>
      </c>
      <c r="E145" s="1" t="s">
        <v>25</v>
      </c>
      <c r="F145" s="1" t="n">
        <v>385.31</v>
      </c>
      <c r="G145" s="1" t="n">
        <v>8</v>
      </c>
      <c r="H145" s="1" t="n">
        <v>-94.21</v>
      </c>
    </row>
    <row r="146" customFormat="false" ht="15" hidden="false" customHeight="true" outlineLevel="0" collapsed="false">
      <c r="A146" s="1" t="s">
        <v>177</v>
      </c>
      <c r="B146" s="9" t="n">
        <v>44923</v>
      </c>
      <c r="C146" s="1" t="s">
        <v>19</v>
      </c>
      <c r="D146" s="1" t="s">
        <v>22</v>
      </c>
      <c r="E146" s="1" t="s">
        <v>32</v>
      </c>
      <c r="F146" s="1" t="n">
        <v>1907.58</v>
      </c>
      <c r="G146" s="1" t="n">
        <v>8</v>
      </c>
      <c r="H146" s="1" t="n">
        <v>-263.15</v>
      </c>
    </row>
    <row r="147" customFormat="false" ht="15" hidden="false" customHeight="true" outlineLevel="0" collapsed="false">
      <c r="A147" s="1" t="s">
        <v>178</v>
      </c>
      <c r="B147" s="9" t="n">
        <v>44923</v>
      </c>
      <c r="C147" s="1" t="s">
        <v>15</v>
      </c>
      <c r="D147" s="1" t="s">
        <v>22</v>
      </c>
      <c r="E147" s="1" t="s">
        <v>23</v>
      </c>
      <c r="F147" s="1" t="n">
        <v>1518.1</v>
      </c>
      <c r="G147" s="1" t="n">
        <v>9</v>
      </c>
      <c r="H147" s="1" t="n">
        <v>584.72</v>
      </c>
    </row>
    <row r="148" customFormat="false" ht="15" hidden="false" customHeight="true" outlineLevel="0" collapsed="false">
      <c r="A148" s="1" t="s">
        <v>179</v>
      </c>
      <c r="B148" s="9" t="n">
        <v>44924</v>
      </c>
      <c r="C148" s="1" t="s">
        <v>15</v>
      </c>
      <c r="D148" s="1" t="s">
        <v>27</v>
      </c>
      <c r="E148" s="1" t="s">
        <v>45</v>
      </c>
      <c r="F148" s="1" t="n">
        <v>2170.89</v>
      </c>
      <c r="G148" s="1" t="n">
        <v>9</v>
      </c>
      <c r="H148" s="1" t="n">
        <v>533.72</v>
      </c>
    </row>
    <row r="149" customFormat="false" ht="15" hidden="false" customHeight="true" outlineLevel="0" collapsed="false">
      <c r="A149" s="1" t="s">
        <v>180</v>
      </c>
      <c r="B149" s="9" t="n">
        <v>44924</v>
      </c>
      <c r="C149" s="1" t="s">
        <v>34</v>
      </c>
      <c r="D149" s="1" t="s">
        <v>22</v>
      </c>
      <c r="E149" s="1" t="s">
        <v>23</v>
      </c>
      <c r="F149" s="1" t="n">
        <v>1070.52</v>
      </c>
      <c r="G149" s="1" t="n">
        <v>8</v>
      </c>
      <c r="H149" s="1" t="n">
        <v>-51.87</v>
      </c>
    </row>
    <row r="150" customFormat="false" ht="15" hidden="false" customHeight="true" outlineLevel="0" collapsed="false">
      <c r="A150" s="1" t="s">
        <v>181</v>
      </c>
      <c r="B150" s="9" t="n">
        <v>44925</v>
      </c>
      <c r="C150" s="1" t="s">
        <v>41</v>
      </c>
      <c r="D150" s="1" t="s">
        <v>16</v>
      </c>
      <c r="E150" s="1" t="s">
        <v>58</v>
      </c>
      <c r="F150" s="1" t="n">
        <v>862.89</v>
      </c>
      <c r="G150" s="1" t="n">
        <v>8</v>
      </c>
      <c r="H150" s="1" t="n">
        <v>222.05</v>
      </c>
    </row>
    <row r="151" customFormat="false" ht="15" hidden="false" customHeight="true" outlineLevel="0" collapsed="false">
      <c r="A151" s="1" t="s">
        <v>182</v>
      </c>
      <c r="B151" s="9" t="n">
        <v>44925</v>
      </c>
      <c r="C151" s="1" t="s">
        <v>41</v>
      </c>
      <c r="D151" s="1" t="s">
        <v>22</v>
      </c>
      <c r="E151" s="1" t="s">
        <v>23</v>
      </c>
      <c r="F151" s="1" t="n">
        <v>1382.55</v>
      </c>
      <c r="G151" s="1" t="n">
        <v>5</v>
      </c>
      <c r="H151" s="1" t="n">
        <v>377.18</v>
      </c>
    </row>
    <row r="152" customFormat="false" ht="15" hidden="false" customHeight="true" outlineLevel="0" collapsed="false">
      <c r="A152" s="1" t="s">
        <v>183</v>
      </c>
      <c r="B152" s="9" t="n">
        <v>44926</v>
      </c>
      <c r="C152" s="1" t="s">
        <v>19</v>
      </c>
      <c r="D152" s="1" t="s">
        <v>22</v>
      </c>
      <c r="E152" s="1" t="s">
        <v>25</v>
      </c>
      <c r="F152" s="1" t="n">
        <v>1904.69</v>
      </c>
      <c r="G152" s="1" t="n">
        <v>8</v>
      </c>
      <c r="H152" s="1" t="n">
        <v>232.16</v>
      </c>
    </row>
    <row r="153" customFormat="false" ht="15" hidden="false" customHeight="true" outlineLevel="0" collapsed="false">
      <c r="A153" s="1" t="s">
        <v>184</v>
      </c>
      <c r="B153" s="9" t="n">
        <v>44929</v>
      </c>
      <c r="C153" s="1" t="s">
        <v>34</v>
      </c>
      <c r="D153" s="1" t="s">
        <v>16</v>
      </c>
      <c r="E153" s="1" t="s">
        <v>17</v>
      </c>
      <c r="F153" s="1" t="n">
        <v>1072.26</v>
      </c>
      <c r="G153" s="1" t="n">
        <v>1</v>
      </c>
      <c r="H153" s="1" t="n">
        <v>-206.05</v>
      </c>
    </row>
    <row r="154" customFormat="false" ht="15" hidden="false" customHeight="true" outlineLevel="0" collapsed="false">
      <c r="A154" s="1" t="s">
        <v>185</v>
      </c>
      <c r="B154" s="9" t="n">
        <v>44935</v>
      </c>
      <c r="C154" s="1" t="s">
        <v>34</v>
      </c>
      <c r="D154" s="1" t="s">
        <v>16</v>
      </c>
      <c r="E154" s="1" t="s">
        <v>58</v>
      </c>
      <c r="F154" s="1" t="n">
        <v>2020.27</v>
      </c>
      <c r="G154" s="1" t="n">
        <v>6</v>
      </c>
      <c r="H154" s="1" t="n">
        <v>426.58</v>
      </c>
    </row>
    <row r="155" customFormat="false" ht="15" hidden="false" customHeight="true" outlineLevel="0" collapsed="false">
      <c r="A155" s="1" t="s">
        <v>186</v>
      </c>
      <c r="B155" s="9" t="n">
        <v>44939</v>
      </c>
      <c r="C155" s="1" t="s">
        <v>41</v>
      </c>
      <c r="D155" s="1" t="s">
        <v>16</v>
      </c>
      <c r="E155" s="1" t="s">
        <v>58</v>
      </c>
      <c r="F155" s="1" t="n">
        <v>1996.06</v>
      </c>
      <c r="G155" s="1" t="n">
        <v>4</v>
      </c>
      <c r="H155" s="1" t="n">
        <v>-87.99</v>
      </c>
    </row>
    <row r="156" customFormat="false" ht="15" hidden="false" customHeight="true" outlineLevel="0" collapsed="false">
      <c r="A156" s="1" t="s">
        <v>187</v>
      </c>
      <c r="B156" s="9" t="n">
        <v>44942</v>
      </c>
      <c r="C156" s="1" t="s">
        <v>41</v>
      </c>
      <c r="D156" s="1" t="s">
        <v>27</v>
      </c>
      <c r="E156" s="1" t="s">
        <v>39</v>
      </c>
      <c r="F156" s="1" t="n">
        <v>191.45</v>
      </c>
      <c r="G156" s="1" t="n">
        <v>8</v>
      </c>
      <c r="H156" s="1" t="n">
        <v>10.72</v>
      </c>
    </row>
    <row r="157" customFormat="false" ht="15" hidden="false" customHeight="true" outlineLevel="0" collapsed="false">
      <c r="A157" s="1" t="s">
        <v>188</v>
      </c>
      <c r="B157" s="9" t="n">
        <v>44946</v>
      </c>
      <c r="C157" s="1" t="s">
        <v>41</v>
      </c>
      <c r="D157" s="1" t="s">
        <v>22</v>
      </c>
      <c r="E157" s="1" t="s">
        <v>25</v>
      </c>
      <c r="F157" s="1" t="n">
        <v>101.97</v>
      </c>
      <c r="G157" s="1" t="n">
        <v>2</v>
      </c>
      <c r="H157" s="1" t="n">
        <v>-0.86</v>
      </c>
    </row>
    <row r="158" customFormat="false" ht="15" hidden="false" customHeight="true" outlineLevel="0" collapsed="false">
      <c r="A158" s="1" t="s">
        <v>189</v>
      </c>
      <c r="B158" s="9" t="n">
        <v>44948</v>
      </c>
      <c r="C158" s="1" t="s">
        <v>34</v>
      </c>
      <c r="D158" s="1" t="s">
        <v>16</v>
      </c>
      <c r="E158" s="1" t="s">
        <v>17</v>
      </c>
      <c r="F158" s="1" t="n">
        <v>1601.94</v>
      </c>
      <c r="G158" s="1" t="n">
        <v>8</v>
      </c>
      <c r="H158" s="1" t="n">
        <v>430.42</v>
      </c>
    </row>
    <row r="159" customFormat="false" ht="15" hidden="false" customHeight="true" outlineLevel="0" collapsed="false">
      <c r="A159" s="1" t="s">
        <v>190</v>
      </c>
      <c r="B159" s="9" t="n">
        <v>44951</v>
      </c>
      <c r="C159" s="1" t="s">
        <v>19</v>
      </c>
      <c r="D159" s="1" t="s">
        <v>22</v>
      </c>
      <c r="E159" s="1" t="s">
        <v>23</v>
      </c>
      <c r="F159" s="1" t="n">
        <v>423.29</v>
      </c>
      <c r="G159" s="1" t="n">
        <v>3</v>
      </c>
      <c r="H159" s="1" t="n">
        <v>164.09</v>
      </c>
    </row>
    <row r="160" customFormat="false" ht="15" hidden="false" customHeight="true" outlineLevel="0" collapsed="false">
      <c r="A160" s="1" t="s">
        <v>191</v>
      </c>
      <c r="B160" s="9" t="n">
        <v>44957</v>
      </c>
      <c r="C160" s="1" t="s">
        <v>15</v>
      </c>
      <c r="D160" s="1" t="s">
        <v>22</v>
      </c>
      <c r="E160" s="1" t="s">
        <v>30</v>
      </c>
      <c r="F160" s="1" t="n">
        <v>226.55</v>
      </c>
      <c r="G160" s="1" t="n">
        <v>4</v>
      </c>
      <c r="H160" s="1" t="n">
        <v>-42.09</v>
      </c>
    </row>
    <row r="161" customFormat="false" ht="15" hidden="false" customHeight="true" outlineLevel="0" collapsed="false">
      <c r="A161" s="1" t="s">
        <v>192</v>
      </c>
      <c r="B161" s="9" t="n">
        <v>44958</v>
      </c>
      <c r="C161" s="1" t="s">
        <v>15</v>
      </c>
      <c r="D161" s="1" t="s">
        <v>22</v>
      </c>
      <c r="E161" s="1" t="s">
        <v>25</v>
      </c>
      <c r="F161" s="1" t="n">
        <v>831.04</v>
      </c>
      <c r="G161" s="1" t="n">
        <v>7</v>
      </c>
      <c r="H161" s="1" t="n">
        <v>180.6</v>
      </c>
    </row>
    <row r="162" customFormat="false" ht="15" hidden="false" customHeight="true" outlineLevel="0" collapsed="false">
      <c r="A162" s="1" t="s">
        <v>193</v>
      </c>
      <c r="B162" s="9" t="n">
        <v>44960</v>
      </c>
      <c r="C162" s="1" t="s">
        <v>19</v>
      </c>
      <c r="D162" s="1" t="s">
        <v>22</v>
      </c>
      <c r="E162" s="1" t="s">
        <v>23</v>
      </c>
      <c r="F162" s="1" t="n">
        <v>1250.49</v>
      </c>
      <c r="G162" s="1" t="n">
        <v>7</v>
      </c>
      <c r="H162" s="1" t="n">
        <v>-156.59</v>
      </c>
    </row>
    <row r="163" customFormat="false" ht="15" hidden="false" customHeight="true" outlineLevel="0" collapsed="false">
      <c r="A163" s="1" t="s">
        <v>194</v>
      </c>
      <c r="B163" s="9" t="n">
        <v>44960</v>
      </c>
      <c r="C163" s="1" t="s">
        <v>15</v>
      </c>
      <c r="D163" s="1" t="s">
        <v>27</v>
      </c>
      <c r="E163" s="1" t="s">
        <v>39</v>
      </c>
      <c r="F163" s="1" t="n">
        <v>2277.64</v>
      </c>
      <c r="G163" s="1" t="n">
        <v>9</v>
      </c>
      <c r="H163" s="1" t="n">
        <v>-497.5</v>
      </c>
    </row>
    <row r="164" customFormat="false" ht="15" hidden="false" customHeight="true" outlineLevel="0" collapsed="false">
      <c r="A164" s="1" t="s">
        <v>195</v>
      </c>
      <c r="B164" s="9" t="n">
        <v>44960</v>
      </c>
      <c r="C164" s="1" t="s">
        <v>15</v>
      </c>
      <c r="D164" s="1" t="s">
        <v>27</v>
      </c>
      <c r="E164" s="1" t="s">
        <v>45</v>
      </c>
      <c r="F164" s="1" t="n">
        <v>2243.85</v>
      </c>
      <c r="G164" s="1" t="n">
        <v>4</v>
      </c>
      <c r="H164" s="1" t="n">
        <v>-449</v>
      </c>
    </row>
    <row r="165" customFormat="false" ht="15" hidden="false" customHeight="true" outlineLevel="0" collapsed="false">
      <c r="A165" s="1" t="s">
        <v>196</v>
      </c>
      <c r="B165" s="9" t="n">
        <v>44962</v>
      </c>
      <c r="C165" s="1" t="s">
        <v>34</v>
      </c>
      <c r="D165" s="1" t="s">
        <v>27</v>
      </c>
      <c r="E165" s="1" t="s">
        <v>55</v>
      </c>
      <c r="F165" s="1" t="n">
        <v>1631.09</v>
      </c>
      <c r="G165" s="1" t="n">
        <v>1</v>
      </c>
      <c r="H165" s="1" t="n">
        <v>561.84</v>
      </c>
    </row>
    <row r="166" customFormat="false" ht="15" hidden="false" customHeight="true" outlineLevel="0" collapsed="false">
      <c r="A166" s="1" t="s">
        <v>197</v>
      </c>
      <c r="B166" s="9" t="n">
        <v>44962</v>
      </c>
      <c r="C166" s="1" t="s">
        <v>34</v>
      </c>
      <c r="D166" s="1" t="s">
        <v>16</v>
      </c>
      <c r="E166" s="1" t="s">
        <v>20</v>
      </c>
      <c r="F166" s="1" t="n">
        <v>2271.39</v>
      </c>
      <c r="G166" s="1" t="n">
        <v>9</v>
      </c>
      <c r="H166" s="1" t="n">
        <v>583.75</v>
      </c>
    </row>
    <row r="167" customFormat="false" ht="15" hidden="false" customHeight="true" outlineLevel="0" collapsed="false">
      <c r="A167" s="1" t="s">
        <v>198</v>
      </c>
      <c r="B167" s="9" t="n">
        <v>44965</v>
      </c>
      <c r="C167" s="1" t="s">
        <v>34</v>
      </c>
      <c r="D167" s="1" t="s">
        <v>22</v>
      </c>
      <c r="E167" s="1" t="s">
        <v>30</v>
      </c>
      <c r="F167" s="1" t="n">
        <v>1756.89</v>
      </c>
      <c r="G167" s="1" t="n">
        <v>6</v>
      </c>
      <c r="H167" s="1" t="n">
        <v>602.02</v>
      </c>
    </row>
    <row r="168" customFormat="false" ht="15" hidden="false" customHeight="true" outlineLevel="0" collapsed="false">
      <c r="A168" s="1" t="s">
        <v>199</v>
      </c>
      <c r="B168" s="9" t="n">
        <v>44968</v>
      </c>
      <c r="C168" s="1" t="s">
        <v>41</v>
      </c>
      <c r="D168" s="1" t="s">
        <v>22</v>
      </c>
      <c r="E168" s="1" t="s">
        <v>25</v>
      </c>
      <c r="F168" s="1" t="n">
        <v>1238.72</v>
      </c>
      <c r="G168" s="1" t="n">
        <v>9</v>
      </c>
      <c r="H168" s="1" t="n">
        <v>143.33</v>
      </c>
    </row>
    <row r="169" customFormat="false" ht="15" hidden="false" customHeight="true" outlineLevel="0" collapsed="false">
      <c r="A169" s="1" t="s">
        <v>200</v>
      </c>
      <c r="B169" s="9" t="n">
        <v>44971</v>
      </c>
      <c r="C169" s="1" t="s">
        <v>41</v>
      </c>
      <c r="D169" s="1" t="s">
        <v>22</v>
      </c>
      <c r="E169" s="1" t="s">
        <v>23</v>
      </c>
      <c r="F169" s="1" t="n">
        <v>1378.03</v>
      </c>
      <c r="G169" s="1" t="n">
        <v>3</v>
      </c>
      <c r="H169" s="1" t="n">
        <v>443.88</v>
      </c>
    </row>
    <row r="170" customFormat="false" ht="15" hidden="false" customHeight="true" outlineLevel="0" collapsed="false">
      <c r="A170" s="1" t="s">
        <v>201</v>
      </c>
      <c r="B170" s="9" t="n">
        <v>44973</v>
      </c>
      <c r="C170" s="1" t="s">
        <v>19</v>
      </c>
      <c r="D170" s="1" t="s">
        <v>22</v>
      </c>
      <c r="E170" s="1" t="s">
        <v>23</v>
      </c>
      <c r="F170" s="1" t="n">
        <v>1599.99</v>
      </c>
      <c r="G170" s="1" t="n">
        <v>4</v>
      </c>
      <c r="H170" s="1" t="n">
        <v>189.43</v>
      </c>
    </row>
    <row r="171" customFormat="false" ht="15" hidden="false" customHeight="true" outlineLevel="0" collapsed="false">
      <c r="A171" s="1" t="s">
        <v>202</v>
      </c>
      <c r="B171" s="9" t="n">
        <v>44974</v>
      </c>
      <c r="C171" s="1" t="s">
        <v>34</v>
      </c>
      <c r="D171" s="1" t="s">
        <v>27</v>
      </c>
      <c r="E171" s="1" t="s">
        <v>45</v>
      </c>
      <c r="F171" s="1" t="n">
        <v>313.05</v>
      </c>
      <c r="G171" s="1" t="n">
        <v>4</v>
      </c>
      <c r="H171" s="1" t="n">
        <v>74.42</v>
      </c>
    </row>
    <row r="172" customFormat="false" ht="15" hidden="false" customHeight="true" outlineLevel="0" collapsed="false">
      <c r="A172" s="1" t="s">
        <v>203</v>
      </c>
      <c r="B172" s="9" t="n">
        <v>44975</v>
      </c>
      <c r="C172" s="1" t="s">
        <v>41</v>
      </c>
      <c r="D172" s="1" t="s">
        <v>22</v>
      </c>
      <c r="E172" s="1" t="s">
        <v>25</v>
      </c>
      <c r="F172" s="1" t="n">
        <v>212.57</v>
      </c>
      <c r="G172" s="1" t="n">
        <v>6</v>
      </c>
      <c r="H172" s="1" t="n">
        <v>7.5</v>
      </c>
    </row>
    <row r="173" customFormat="false" ht="15" hidden="false" customHeight="true" outlineLevel="0" collapsed="false">
      <c r="A173" s="1" t="s">
        <v>204</v>
      </c>
      <c r="B173" s="9" t="n">
        <v>44979</v>
      </c>
      <c r="C173" s="1" t="s">
        <v>41</v>
      </c>
      <c r="D173" s="1" t="s">
        <v>16</v>
      </c>
      <c r="E173" s="1" t="s">
        <v>20</v>
      </c>
      <c r="F173" s="1" t="n">
        <v>878.94</v>
      </c>
      <c r="G173" s="1" t="n">
        <v>1</v>
      </c>
      <c r="H173" s="1" t="n">
        <v>-6.27</v>
      </c>
    </row>
    <row r="174" customFormat="false" ht="15" hidden="false" customHeight="true" outlineLevel="0" collapsed="false">
      <c r="A174" s="1" t="s">
        <v>205</v>
      </c>
      <c r="B174" s="9" t="n">
        <v>44980</v>
      </c>
      <c r="C174" s="1" t="s">
        <v>19</v>
      </c>
      <c r="D174" s="1" t="s">
        <v>16</v>
      </c>
      <c r="E174" s="1" t="s">
        <v>58</v>
      </c>
      <c r="F174" s="1" t="n">
        <v>1501.24</v>
      </c>
      <c r="G174" s="1" t="n">
        <v>2</v>
      </c>
      <c r="H174" s="1" t="n">
        <v>176.43</v>
      </c>
    </row>
    <row r="175" customFormat="false" ht="15" hidden="false" customHeight="true" outlineLevel="0" collapsed="false">
      <c r="A175" s="1" t="s">
        <v>206</v>
      </c>
      <c r="B175" s="9" t="n">
        <v>44980</v>
      </c>
      <c r="C175" s="1" t="s">
        <v>34</v>
      </c>
      <c r="D175" s="1" t="s">
        <v>22</v>
      </c>
      <c r="E175" s="1" t="s">
        <v>32</v>
      </c>
      <c r="F175" s="1" t="n">
        <v>257.37</v>
      </c>
      <c r="G175" s="1" t="n">
        <v>7</v>
      </c>
      <c r="H175" s="1" t="n">
        <v>-60.08</v>
      </c>
    </row>
    <row r="176" customFormat="false" ht="15" hidden="false" customHeight="true" outlineLevel="0" collapsed="false">
      <c r="A176" s="1" t="s">
        <v>207</v>
      </c>
      <c r="B176" s="9" t="n">
        <v>44984</v>
      </c>
      <c r="C176" s="1" t="s">
        <v>19</v>
      </c>
      <c r="D176" s="1" t="s">
        <v>16</v>
      </c>
      <c r="E176" s="1" t="s">
        <v>71</v>
      </c>
      <c r="F176" s="1" t="n">
        <v>2153.15</v>
      </c>
      <c r="G176" s="1" t="n">
        <v>1</v>
      </c>
      <c r="H176" s="1" t="n">
        <v>551.14</v>
      </c>
    </row>
    <row r="177" customFormat="false" ht="15" hidden="false" customHeight="true" outlineLevel="0" collapsed="false">
      <c r="A177" s="1" t="s">
        <v>208</v>
      </c>
      <c r="B177" s="9" t="n">
        <v>44986</v>
      </c>
      <c r="C177" s="1" t="s">
        <v>15</v>
      </c>
      <c r="D177" s="1" t="s">
        <v>22</v>
      </c>
      <c r="E177" s="1" t="s">
        <v>32</v>
      </c>
      <c r="F177" s="1" t="n">
        <v>1529.15</v>
      </c>
      <c r="G177" s="1" t="n">
        <v>2</v>
      </c>
      <c r="H177" s="1" t="n">
        <v>-8.17</v>
      </c>
    </row>
    <row r="178" customFormat="false" ht="15" hidden="false" customHeight="true" outlineLevel="0" collapsed="false">
      <c r="A178" s="1" t="s">
        <v>209</v>
      </c>
      <c r="B178" s="9" t="n">
        <v>44990</v>
      </c>
      <c r="C178" s="1" t="s">
        <v>15</v>
      </c>
      <c r="D178" s="1" t="s">
        <v>27</v>
      </c>
      <c r="E178" s="1" t="s">
        <v>45</v>
      </c>
      <c r="F178" s="1" t="n">
        <v>886.48</v>
      </c>
      <c r="G178" s="1" t="n">
        <v>8</v>
      </c>
      <c r="H178" s="1" t="n">
        <v>68.93</v>
      </c>
    </row>
    <row r="179" customFormat="false" ht="15" hidden="false" customHeight="true" outlineLevel="0" collapsed="false">
      <c r="A179" s="1" t="s">
        <v>210</v>
      </c>
      <c r="B179" s="9" t="n">
        <v>44992</v>
      </c>
      <c r="C179" s="1" t="s">
        <v>41</v>
      </c>
      <c r="D179" s="1" t="s">
        <v>27</v>
      </c>
      <c r="E179" s="1" t="s">
        <v>45</v>
      </c>
      <c r="F179" s="1" t="n">
        <v>25.22</v>
      </c>
      <c r="G179" s="1" t="n">
        <v>1</v>
      </c>
      <c r="H179" s="1" t="n">
        <v>6.36</v>
      </c>
    </row>
    <row r="180" customFormat="false" ht="15" hidden="false" customHeight="true" outlineLevel="0" collapsed="false">
      <c r="A180" s="1" t="s">
        <v>211</v>
      </c>
      <c r="B180" s="9" t="n">
        <v>44994</v>
      </c>
      <c r="C180" s="1" t="s">
        <v>41</v>
      </c>
      <c r="D180" s="1" t="s">
        <v>16</v>
      </c>
      <c r="E180" s="1" t="s">
        <v>17</v>
      </c>
      <c r="F180" s="1" t="n">
        <v>1643.53</v>
      </c>
      <c r="G180" s="1" t="n">
        <v>5</v>
      </c>
      <c r="H180" s="1" t="n">
        <v>-236.48</v>
      </c>
    </row>
    <row r="181" customFormat="false" ht="15" hidden="false" customHeight="true" outlineLevel="0" collapsed="false">
      <c r="A181" s="1" t="s">
        <v>212</v>
      </c>
      <c r="B181" s="9" t="n">
        <v>44996</v>
      </c>
      <c r="C181" s="1" t="s">
        <v>15</v>
      </c>
      <c r="D181" s="1" t="s">
        <v>16</v>
      </c>
      <c r="E181" s="1" t="s">
        <v>17</v>
      </c>
      <c r="F181" s="1" t="n">
        <v>555.9</v>
      </c>
      <c r="G181" s="1" t="n">
        <v>7</v>
      </c>
      <c r="H181" s="1" t="n">
        <v>-101.01</v>
      </c>
    </row>
    <row r="182" customFormat="false" ht="15" hidden="false" customHeight="true" outlineLevel="0" collapsed="false">
      <c r="A182" s="1" t="s">
        <v>213</v>
      </c>
      <c r="B182" s="9" t="n">
        <v>44997</v>
      </c>
      <c r="C182" s="1" t="s">
        <v>41</v>
      </c>
      <c r="D182" s="1" t="s">
        <v>22</v>
      </c>
      <c r="E182" s="1" t="s">
        <v>23</v>
      </c>
      <c r="F182" s="1" t="n">
        <v>896.06</v>
      </c>
      <c r="G182" s="1" t="n">
        <v>3</v>
      </c>
      <c r="H182" s="1" t="n">
        <v>-38.02</v>
      </c>
    </row>
    <row r="183" customFormat="false" ht="15" hidden="false" customHeight="true" outlineLevel="0" collapsed="false">
      <c r="A183" s="1" t="s">
        <v>214</v>
      </c>
      <c r="B183" s="9" t="n">
        <v>44999</v>
      </c>
      <c r="C183" s="1" t="s">
        <v>19</v>
      </c>
      <c r="D183" s="1" t="s">
        <v>22</v>
      </c>
      <c r="E183" s="1" t="s">
        <v>23</v>
      </c>
      <c r="F183" s="1" t="n">
        <v>75.02</v>
      </c>
      <c r="G183" s="1" t="n">
        <v>3</v>
      </c>
      <c r="H183" s="1" t="n">
        <v>7.41</v>
      </c>
    </row>
    <row r="184" customFormat="false" ht="15" hidden="false" customHeight="true" outlineLevel="0" collapsed="false">
      <c r="A184" s="1" t="s">
        <v>215</v>
      </c>
      <c r="B184" s="9" t="n">
        <v>45002</v>
      </c>
      <c r="C184" s="1" t="s">
        <v>19</v>
      </c>
      <c r="D184" s="1" t="s">
        <v>22</v>
      </c>
      <c r="E184" s="1" t="s">
        <v>25</v>
      </c>
      <c r="F184" s="1" t="n">
        <v>657.07</v>
      </c>
      <c r="G184" s="1" t="n">
        <v>9</v>
      </c>
      <c r="H184" s="1" t="n">
        <v>126.43</v>
      </c>
    </row>
    <row r="185" customFormat="false" ht="15" hidden="false" customHeight="true" outlineLevel="0" collapsed="false">
      <c r="A185" s="1" t="s">
        <v>216</v>
      </c>
      <c r="B185" s="9" t="n">
        <v>45003</v>
      </c>
      <c r="C185" s="1" t="s">
        <v>34</v>
      </c>
      <c r="D185" s="1" t="s">
        <v>22</v>
      </c>
      <c r="E185" s="1" t="s">
        <v>25</v>
      </c>
      <c r="F185" s="1" t="n">
        <v>667.02</v>
      </c>
      <c r="G185" s="1" t="n">
        <v>1</v>
      </c>
      <c r="H185" s="1" t="n">
        <v>-159.61</v>
      </c>
    </row>
    <row r="186" customFormat="false" ht="15" hidden="false" customHeight="true" outlineLevel="0" collapsed="false">
      <c r="A186" s="1" t="s">
        <v>217</v>
      </c>
      <c r="B186" s="9" t="n">
        <v>45003</v>
      </c>
      <c r="C186" s="1" t="s">
        <v>34</v>
      </c>
      <c r="D186" s="1" t="s">
        <v>22</v>
      </c>
      <c r="E186" s="1" t="s">
        <v>32</v>
      </c>
      <c r="F186" s="1" t="n">
        <v>317.27</v>
      </c>
      <c r="G186" s="1" t="n">
        <v>7</v>
      </c>
      <c r="H186" s="1" t="n">
        <v>-4.34</v>
      </c>
    </row>
    <row r="187" customFormat="false" ht="15" hidden="false" customHeight="true" outlineLevel="0" collapsed="false">
      <c r="A187" s="1" t="s">
        <v>218</v>
      </c>
      <c r="B187" s="9" t="n">
        <v>45004</v>
      </c>
      <c r="C187" s="1" t="s">
        <v>41</v>
      </c>
      <c r="D187" s="1" t="s">
        <v>27</v>
      </c>
      <c r="E187" s="1" t="s">
        <v>28</v>
      </c>
      <c r="F187" s="1" t="n">
        <v>1224.26</v>
      </c>
      <c r="G187" s="1" t="n">
        <v>4</v>
      </c>
      <c r="H187" s="1" t="n">
        <v>-282.47</v>
      </c>
    </row>
    <row r="188" customFormat="false" ht="15" hidden="false" customHeight="true" outlineLevel="0" collapsed="false">
      <c r="A188" s="1" t="s">
        <v>219</v>
      </c>
      <c r="B188" s="9" t="n">
        <v>45004</v>
      </c>
      <c r="C188" s="1" t="s">
        <v>41</v>
      </c>
      <c r="D188" s="1" t="s">
        <v>16</v>
      </c>
      <c r="E188" s="1" t="s">
        <v>17</v>
      </c>
      <c r="F188" s="1" t="n">
        <v>87.2</v>
      </c>
      <c r="G188" s="1" t="n">
        <v>8</v>
      </c>
      <c r="H188" s="1" t="n">
        <v>-8.25</v>
      </c>
    </row>
    <row r="189" customFormat="false" ht="15" hidden="false" customHeight="true" outlineLevel="0" collapsed="false">
      <c r="A189" s="1" t="s">
        <v>220</v>
      </c>
      <c r="B189" s="9" t="n">
        <v>45014</v>
      </c>
      <c r="C189" s="1" t="s">
        <v>15</v>
      </c>
      <c r="D189" s="1" t="s">
        <v>22</v>
      </c>
      <c r="E189" s="1" t="s">
        <v>32</v>
      </c>
      <c r="F189" s="1" t="n">
        <v>619.79</v>
      </c>
      <c r="G189" s="1" t="n">
        <v>7</v>
      </c>
      <c r="H189" s="1" t="n">
        <v>-114.55</v>
      </c>
    </row>
    <row r="190" customFormat="false" ht="15" hidden="false" customHeight="true" outlineLevel="0" collapsed="false">
      <c r="A190" s="1" t="s">
        <v>221</v>
      </c>
      <c r="B190" s="9" t="n">
        <v>45015</v>
      </c>
      <c r="C190" s="1" t="s">
        <v>15</v>
      </c>
      <c r="D190" s="1" t="s">
        <v>22</v>
      </c>
      <c r="E190" s="1" t="s">
        <v>23</v>
      </c>
      <c r="F190" s="1" t="n">
        <v>29.47</v>
      </c>
      <c r="G190" s="1" t="n">
        <v>4</v>
      </c>
      <c r="H190" s="1" t="n">
        <v>6.69</v>
      </c>
    </row>
    <row r="191" customFormat="false" ht="15" hidden="false" customHeight="true" outlineLevel="0" collapsed="false">
      <c r="A191" s="1" t="s">
        <v>222</v>
      </c>
      <c r="B191" s="9" t="n">
        <v>45015</v>
      </c>
      <c r="C191" s="1" t="s">
        <v>34</v>
      </c>
      <c r="D191" s="1" t="s">
        <v>22</v>
      </c>
      <c r="E191" s="1" t="s">
        <v>30</v>
      </c>
      <c r="F191" s="1" t="n">
        <v>1365.06</v>
      </c>
      <c r="G191" s="1" t="n">
        <v>5</v>
      </c>
      <c r="H191" s="1" t="n">
        <v>567.91</v>
      </c>
    </row>
    <row r="192" customFormat="false" ht="15" hidden="false" customHeight="true" outlineLevel="0" collapsed="false">
      <c r="A192" s="1" t="s">
        <v>223</v>
      </c>
      <c r="B192" s="9" t="n">
        <v>45016</v>
      </c>
      <c r="C192" s="1" t="s">
        <v>15</v>
      </c>
      <c r="D192" s="1" t="s">
        <v>22</v>
      </c>
      <c r="E192" s="1" t="s">
        <v>30</v>
      </c>
      <c r="F192" s="1" t="n">
        <v>951.67</v>
      </c>
      <c r="G192" s="1" t="n">
        <v>5</v>
      </c>
      <c r="H192" s="1" t="n">
        <v>-40.15</v>
      </c>
    </row>
    <row r="193" customFormat="false" ht="15" hidden="false" customHeight="true" outlineLevel="0" collapsed="false">
      <c r="A193" s="1" t="s">
        <v>224</v>
      </c>
      <c r="B193" s="9" t="n">
        <v>45018</v>
      </c>
      <c r="C193" s="1" t="s">
        <v>19</v>
      </c>
      <c r="D193" s="1" t="s">
        <v>16</v>
      </c>
      <c r="E193" s="1" t="s">
        <v>71</v>
      </c>
      <c r="F193" s="1" t="n">
        <v>1897.56</v>
      </c>
      <c r="G193" s="1" t="n">
        <v>1</v>
      </c>
      <c r="H193" s="1" t="n">
        <v>27.51</v>
      </c>
    </row>
    <row r="194" customFormat="false" ht="15" hidden="false" customHeight="true" outlineLevel="0" collapsed="false">
      <c r="A194" s="1" t="s">
        <v>225</v>
      </c>
      <c r="B194" s="9" t="n">
        <v>45018</v>
      </c>
      <c r="C194" s="1" t="s">
        <v>34</v>
      </c>
      <c r="D194" s="1" t="s">
        <v>22</v>
      </c>
      <c r="E194" s="1" t="s">
        <v>32</v>
      </c>
      <c r="F194" s="1" t="n">
        <v>719.45</v>
      </c>
      <c r="G194" s="1" t="n">
        <v>3</v>
      </c>
      <c r="H194" s="1" t="n">
        <v>-90.5</v>
      </c>
    </row>
    <row r="195" customFormat="false" ht="15" hidden="false" customHeight="true" outlineLevel="0" collapsed="false">
      <c r="A195" s="1" t="s">
        <v>226</v>
      </c>
      <c r="B195" s="9" t="n">
        <v>45018</v>
      </c>
      <c r="C195" s="1" t="s">
        <v>41</v>
      </c>
      <c r="D195" s="1" t="s">
        <v>22</v>
      </c>
      <c r="E195" s="1" t="s">
        <v>25</v>
      </c>
      <c r="F195" s="1" t="n">
        <v>163.3</v>
      </c>
      <c r="G195" s="1" t="n">
        <v>3</v>
      </c>
      <c r="H195" s="1" t="n">
        <v>38.62</v>
      </c>
    </row>
    <row r="196" customFormat="false" ht="15" hidden="false" customHeight="true" outlineLevel="0" collapsed="false">
      <c r="A196" s="1" t="s">
        <v>227</v>
      </c>
      <c r="B196" s="9" t="n">
        <v>45021</v>
      </c>
      <c r="C196" s="1" t="s">
        <v>34</v>
      </c>
      <c r="D196" s="1" t="s">
        <v>22</v>
      </c>
      <c r="E196" s="1" t="s">
        <v>30</v>
      </c>
      <c r="F196" s="1" t="n">
        <v>1648.71</v>
      </c>
      <c r="G196" s="1" t="n">
        <v>4</v>
      </c>
      <c r="H196" s="1" t="n">
        <v>-36.88</v>
      </c>
    </row>
    <row r="197" customFormat="false" ht="15" hidden="false" customHeight="true" outlineLevel="0" collapsed="false">
      <c r="A197" s="1" t="s">
        <v>228</v>
      </c>
      <c r="B197" s="9" t="n">
        <v>45024</v>
      </c>
      <c r="C197" s="1" t="s">
        <v>34</v>
      </c>
      <c r="D197" s="1" t="s">
        <v>22</v>
      </c>
      <c r="E197" s="1" t="s">
        <v>32</v>
      </c>
      <c r="F197" s="1" t="n">
        <v>428.74</v>
      </c>
      <c r="G197" s="1" t="n">
        <v>2</v>
      </c>
      <c r="H197" s="1" t="n">
        <v>-67.65</v>
      </c>
    </row>
    <row r="198" customFormat="false" ht="15" hidden="false" customHeight="true" outlineLevel="0" collapsed="false">
      <c r="A198" s="1" t="s">
        <v>229</v>
      </c>
      <c r="B198" s="9" t="n">
        <v>45024</v>
      </c>
      <c r="C198" s="1" t="s">
        <v>19</v>
      </c>
      <c r="D198" s="1" t="s">
        <v>27</v>
      </c>
      <c r="E198" s="1" t="s">
        <v>55</v>
      </c>
      <c r="F198" s="1" t="n">
        <v>585.05</v>
      </c>
      <c r="G198" s="1" t="n">
        <v>3</v>
      </c>
      <c r="H198" s="1" t="n">
        <v>253.44</v>
      </c>
    </row>
    <row r="199" customFormat="false" ht="15" hidden="false" customHeight="true" outlineLevel="0" collapsed="false">
      <c r="A199" s="1" t="s">
        <v>230</v>
      </c>
      <c r="B199" s="9" t="n">
        <v>45032</v>
      </c>
      <c r="C199" s="1" t="s">
        <v>34</v>
      </c>
      <c r="D199" s="1" t="s">
        <v>27</v>
      </c>
      <c r="E199" s="1" t="s">
        <v>39</v>
      </c>
      <c r="F199" s="1" t="n">
        <v>2344.7</v>
      </c>
      <c r="G199" s="1" t="n">
        <v>4</v>
      </c>
      <c r="H199" s="1" t="n">
        <v>404</v>
      </c>
    </row>
    <row r="200" customFormat="false" ht="15" hidden="false" customHeight="true" outlineLevel="0" collapsed="false">
      <c r="A200" s="1" t="s">
        <v>231</v>
      </c>
      <c r="B200" s="9" t="n">
        <v>45034</v>
      </c>
      <c r="C200" s="1" t="s">
        <v>19</v>
      </c>
      <c r="D200" s="1" t="s">
        <v>22</v>
      </c>
      <c r="E200" s="1" t="s">
        <v>25</v>
      </c>
      <c r="F200" s="1" t="n">
        <v>2097.52</v>
      </c>
      <c r="G200" s="1" t="n">
        <v>7</v>
      </c>
      <c r="H200" s="1" t="n">
        <v>467.71</v>
      </c>
    </row>
    <row r="201" customFormat="false" ht="15" hidden="false" customHeight="true" outlineLevel="0" collapsed="false">
      <c r="A201" s="1" t="s">
        <v>232</v>
      </c>
      <c r="B201" s="9" t="n">
        <v>45035</v>
      </c>
      <c r="C201" s="1" t="s">
        <v>34</v>
      </c>
      <c r="D201" s="1" t="s">
        <v>16</v>
      </c>
      <c r="E201" s="1" t="s">
        <v>71</v>
      </c>
      <c r="F201" s="1" t="n">
        <v>1463.78</v>
      </c>
      <c r="G201" s="1" t="n">
        <v>2</v>
      </c>
      <c r="H201" s="1" t="n">
        <v>-11.54</v>
      </c>
    </row>
    <row r="202" customFormat="false" ht="15" hidden="false" customHeight="true" outlineLevel="0" collapsed="false">
      <c r="A202" s="1" t="s">
        <v>233</v>
      </c>
      <c r="B202" s="9" t="n">
        <v>45036</v>
      </c>
      <c r="C202" s="1" t="s">
        <v>41</v>
      </c>
      <c r="D202" s="1" t="s">
        <v>22</v>
      </c>
      <c r="E202" s="1" t="s">
        <v>25</v>
      </c>
      <c r="F202" s="1" t="n">
        <v>37.52</v>
      </c>
      <c r="G202" s="1" t="n">
        <v>3</v>
      </c>
      <c r="H202" s="1" t="n">
        <v>-8.77</v>
      </c>
    </row>
    <row r="203" customFormat="false" ht="15" hidden="false" customHeight="true" outlineLevel="0" collapsed="false">
      <c r="A203" s="1" t="s">
        <v>234</v>
      </c>
      <c r="B203" s="9" t="n">
        <v>45036</v>
      </c>
      <c r="C203" s="1" t="s">
        <v>34</v>
      </c>
      <c r="D203" s="1" t="s">
        <v>27</v>
      </c>
      <c r="E203" s="1" t="s">
        <v>45</v>
      </c>
      <c r="F203" s="1" t="n">
        <v>1492.63</v>
      </c>
      <c r="G203" s="1" t="n">
        <v>3</v>
      </c>
      <c r="H203" s="1" t="n">
        <v>-338.88</v>
      </c>
    </row>
    <row r="204" customFormat="false" ht="15" hidden="false" customHeight="true" outlineLevel="0" collapsed="false">
      <c r="A204" s="1" t="s">
        <v>235</v>
      </c>
      <c r="B204" s="9" t="n">
        <v>45037</v>
      </c>
      <c r="C204" s="1" t="s">
        <v>34</v>
      </c>
      <c r="D204" s="1" t="s">
        <v>27</v>
      </c>
      <c r="E204" s="1" t="s">
        <v>28</v>
      </c>
      <c r="F204" s="1" t="n">
        <v>1182.28</v>
      </c>
      <c r="G204" s="1" t="n">
        <v>9</v>
      </c>
      <c r="H204" s="1" t="n">
        <v>-248.97</v>
      </c>
    </row>
    <row r="205" customFormat="false" ht="15" hidden="false" customHeight="true" outlineLevel="0" collapsed="false">
      <c r="A205" s="1" t="s">
        <v>236</v>
      </c>
      <c r="B205" s="9" t="n">
        <v>45042</v>
      </c>
      <c r="C205" s="1" t="s">
        <v>19</v>
      </c>
      <c r="D205" s="1" t="s">
        <v>22</v>
      </c>
      <c r="E205" s="1" t="s">
        <v>23</v>
      </c>
      <c r="F205" s="1" t="n">
        <v>323.49</v>
      </c>
      <c r="G205" s="1" t="n">
        <v>4</v>
      </c>
      <c r="H205" s="1" t="n">
        <v>85.68</v>
      </c>
    </row>
    <row r="206" customFormat="false" ht="15" hidden="false" customHeight="true" outlineLevel="0" collapsed="false">
      <c r="A206" s="1" t="s">
        <v>237</v>
      </c>
      <c r="B206" s="9" t="n">
        <v>45044</v>
      </c>
      <c r="C206" s="1" t="s">
        <v>34</v>
      </c>
      <c r="D206" s="1" t="s">
        <v>22</v>
      </c>
      <c r="E206" s="1" t="s">
        <v>32</v>
      </c>
      <c r="F206" s="1" t="n">
        <v>1071.38</v>
      </c>
      <c r="G206" s="1" t="n">
        <v>2</v>
      </c>
      <c r="H206" s="1" t="n">
        <v>-153.11</v>
      </c>
    </row>
    <row r="207" customFormat="false" ht="15" hidden="false" customHeight="true" outlineLevel="0" collapsed="false">
      <c r="A207" s="1" t="s">
        <v>238</v>
      </c>
      <c r="B207" s="9" t="n">
        <v>45049</v>
      </c>
      <c r="C207" s="1" t="s">
        <v>34</v>
      </c>
      <c r="D207" s="1" t="s">
        <v>16</v>
      </c>
      <c r="E207" s="1" t="s">
        <v>71</v>
      </c>
      <c r="F207" s="1" t="n">
        <v>533.92</v>
      </c>
      <c r="G207" s="1" t="n">
        <v>2</v>
      </c>
      <c r="H207" s="1" t="n">
        <v>194.75</v>
      </c>
    </row>
    <row r="208" customFormat="false" ht="15" hidden="false" customHeight="true" outlineLevel="0" collapsed="false">
      <c r="A208" s="1" t="s">
        <v>239</v>
      </c>
      <c r="B208" s="9" t="n">
        <v>45050</v>
      </c>
      <c r="C208" s="1" t="s">
        <v>15</v>
      </c>
      <c r="D208" s="1" t="s">
        <v>16</v>
      </c>
      <c r="E208" s="1" t="s">
        <v>20</v>
      </c>
      <c r="F208" s="1" t="n">
        <v>1233.77</v>
      </c>
      <c r="G208" s="1" t="n">
        <v>7</v>
      </c>
      <c r="H208" s="1" t="n">
        <v>-117.4</v>
      </c>
    </row>
    <row r="209" customFormat="false" ht="15" hidden="false" customHeight="true" outlineLevel="0" collapsed="false">
      <c r="A209" s="1" t="s">
        <v>240</v>
      </c>
      <c r="B209" s="9" t="n">
        <v>45050</v>
      </c>
      <c r="C209" s="1" t="s">
        <v>41</v>
      </c>
      <c r="D209" s="1" t="s">
        <v>22</v>
      </c>
      <c r="E209" s="1" t="s">
        <v>23</v>
      </c>
      <c r="F209" s="1" t="n">
        <v>1886.02</v>
      </c>
      <c r="G209" s="1" t="n">
        <v>4</v>
      </c>
      <c r="H209" s="1" t="n">
        <v>-352.05</v>
      </c>
    </row>
    <row r="210" customFormat="false" ht="15" hidden="false" customHeight="true" outlineLevel="0" collapsed="false">
      <c r="A210" s="1" t="s">
        <v>241</v>
      </c>
      <c r="B210" s="9" t="n">
        <v>45050</v>
      </c>
      <c r="C210" s="1" t="s">
        <v>15</v>
      </c>
      <c r="D210" s="1" t="s">
        <v>27</v>
      </c>
      <c r="E210" s="1" t="s">
        <v>45</v>
      </c>
      <c r="F210" s="1" t="n">
        <v>2027.56</v>
      </c>
      <c r="G210" s="1" t="n">
        <v>8</v>
      </c>
      <c r="H210" s="1" t="n">
        <v>-12.03</v>
      </c>
    </row>
    <row r="211" customFormat="false" ht="15" hidden="false" customHeight="true" outlineLevel="0" collapsed="false">
      <c r="A211" s="1" t="s">
        <v>242</v>
      </c>
      <c r="B211" s="9" t="n">
        <v>45052</v>
      </c>
      <c r="C211" s="1" t="s">
        <v>34</v>
      </c>
      <c r="D211" s="1" t="s">
        <v>16</v>
      </c>
      <c r="E211" s="1" t="s">
        <v>17</v>
      </c>
      <c r="F211" s="1" t="n">
        <v>1811.22</v>
      </c>
      <c r="G211" s="1" t="n">
        <v>4</v>
      </c>
      <c r="H211" s="1" t="n">
        <v>632.09</v>
      </c>
    </row>
    <row r="212" customFormat="false" ht="15" hidden="false" customHeight="true" outlineLevel="0" collapsed="false">
      <c r="A212" s="1" t="s">
        <v>243</v>
      </c>
      <c r="B212" s="9" t="n">
        <v>45053</v>
      </c>
      <c r="C212" s="1" t="s">
        <v>34</v>
      </c>
      <c r="D212" s="1" t="s">
        <v>27</v>
      </c>
      <c r="E212" s="1" t="s">
        <v>55</v>
      </c>
      <c r="F212" s="1" t="n">
        <v>2172.94</v>
      </c>
      <c r="G212" s="1" t="n">
        <v>8</v>
      </c>
      <c r="H212" s="1" t="n">
        <v>544.21</v>
      </c>
    </row>
    <row r="213" customFormat="false" ht="15" hidden="false" customHeight="true" outlineLevel="0" collapsed="false">
      <c r="A213" s="1" t="s">
        <v>244</v>
      </c>
      <c r="B213" s="9" t="n">
        <v>45055</v>
      </c>
      <c r="C213" s="1" t="s">
        <v>34</v>
      </c>
      <c r="D213" s="1" t="s">
        <v>22</v>
      </c>
      <c r="E213" s="1" t="s">
        <v>32</v>
      </c>
      <c r="F213" s="1" t="n">
        <v>659.56</v>
      </c>
      <c r="G213" s="1" t="n">
        <v>2</v>
      </c>
      <c r="H213" s="1" t="n">
        <v>-100.55</v>
      </c>
    </row>
    <row r="214" customFormat="false" ht="15" hidden="false" customHeight="true" outlineLevel="0" collapsed="false">
      <c r="A214" s="1" t="s">
        <v>245</v>
      </c>
      <c r="B214" s="9" t="n">
        <v>45057</v>
      </c>
      <c r="C214" s="1" t="s">
        <v>41</v>
      </c>
      <c r="D214" s="1" t="s">
        <v>16</v>
      </c>
      <c r="E214" s="1" t="s">
        <v>58</v>
      </c>
      <c r="F214" s="1" t="n">
        <v>693.17</v>
      </c>
      <c r="G214" s="1" t="n">
        <v>6</v>
      </c>
      <c r="H214" s="1" t="n">
        <v>-112.47</v>
      </c>
    </row>
    <row r="215" customFormat="false" ht="15" hidden="false" customHeight="true" outlineLevel="0" collapsed="false">
      <c r="A215" s="1" t="s">
        <v>246</v>
      </c>
      <c r="B215" s="9" t="n">
        <v>45058</v>
      </c>
      <c r="C215" s="1" t="s">
        <v>19</v>
      </c>
      <c r="D215" s="1" t="s">
        <v>16</v>
      </c>
      <c r="E215" s="1" t="s">
        <v>17</v>
      </c>
      <c r="F215" s="1" t="n">
        <v>58.33</v>
      </c>
      <c r="G215" s="1" t="n">
        <v>5</v>
      </c>
      <c r="H215" s="1" t="n">
        <v>23.32</v>
      </c>
    </row>
    <row r="216" customFormat="false" ht="15" hidden="false" customHeight="true" outlineLevel="0" collapsed="false">
      <c r="A216" s="1" t="s">
        <v>247</v>
      </c>
      <c r="B216" s="9" t="n">
        <v>45058</v>
      </c>
      <c r="C216" s="1" t="s">
        <v>34</v>
      </c>
      <c r="D216" s="1" t="s">
        <v>16</v>
      </c>
      <c r="E216" s="1" t="s">
        <v>20</v>
      </c>
      <c r="F216" s="1" t="n">
        <v>2043.55</v>
      </c>
      <c r="G216" s="1" t="n">
        <v>9</v>
      </c>
      <c r="H216" s="1" t="n">
        <v>721.29</v>
      </c>
    </row>
    <row r="217" customFormat="false" ht="15" hidden="false" customHeight="true" outlineLevel="0" collapsed="false">
      <c r="A217" s="1" t="s">
        <v>248</v>
      </c>
      <c r="B217" s="9" t="n">
        <v>45066</v>
      </c>
      <c r="C217" s="1" t="s">
        <v>15</v>
      </c>
      <c r="D217" s="1" t="s">
        <v>22</v>
      </c>
      <c r="E217" s="1" t="s">
        <v>23</v>
      </c>
      <c r="F217" s="1" t="n">
        <v>1119.58</v>
      </c>
      <c r="G217" s="1" t="n">
        <v>3</v>
      </c>
      <c r="H217" s="1" t="n">
        <v>195.88</v>
      </c>
    </row>
    <row r="218" customFormat="false" ht="15" hidden="false" customHeight="true" outlineLevel="0" collapsed="false">
      <c r="A218" s="1" t="s">
        <v>249</v>
      </c>
      <c r="B218" s="9" t="n">
        <v>45069</v>
      </c>
      <c r="C218" s="1" t="s">
        <v>19</v>
      </c>
      <c r="D218" s="1" t="s">
        <v>27</v>
      </c>
      <c r="E218" s="1" t="s">
        <v>28</v>
      </c>
      <c r="F218" s="1" t="n">
        <v>1781.07</v>
      </c>
      <c r="G218" s="1" t="n">
        <v>7</v>
      </c>
      <c r="H218" s="1" t="n">
        <v>386.13</v>
      </c>
    </row>
    <row r="219" customFormat="false" ht="15" hidden="false" customHeight="true" outlineLevel="0" collapsed="false">
      <c r="A219" s="1" t="s">
        <v>250</v>
      </c>
      <c r="B219" s="9" t="n">
        <v>45070</v>
      </c>
      <c r="C219" s="1" t="s">
        <v>34</v>
      </c>
      <c r="D219" s="1" t="s">
        <v>27</v>
      </c>
      <c r="E219" s="1" t="s">
        <v>55</v>
      </c>
      <c r="F219" s="1" t="n">
        <v>1111.58</v>
      </c>
      <c r="G219" s="1" t="n">
        <v>3</v>
      </c>
      <c r="H219" s="1" t="n">
        <v>-182.94</v>
      </c>
    </row>
    <row r="220" customFormat="false" ht="15" hidden="false" customHeight="true" outlineLevel="0" collapsed="false">
      <c r="A220" s="1" t="s">
        <v>251</v>
      </c>
      <c r="B220" s="9" t="n">
        <v>45074</v>
      </c>
      <c r="C220" s="1" t="s">
        <v>34</v>
      </c>
      <c r="D220" s="1" t="s">
        <v>27</v>
      </c>
      <c r="E220" s="1" t="s">
        <v>55</v>
      </c>
      <c r="F220" s="1" t="n">
        <v>2477.51</v>
      </c>
      <c r="G220" s="1" t="n">
        <v>6</v>
      </c>
      <c r="H220" s="1" t="n">
        <v>-263.85</v>
      </c>
    </row>
    <row r="221" customFormat="false" ht="15" hidden="false" customHeight="true" outlineLevel="0" collapsed="false">
      <c r="A221" s="1" t="s">
        <v>252</v>
      </c>
      <c r="B221" s="9" t="n">
        <v>45077</v>
      </c>
      <c r="C221" s="1" t="s">
        <v>19</v>
      </c>
      <c r="D221" s="1" t="s">
        <v>27</v>
      </c>
      <c r="E221" s="1" t="s">
        <v>55</v>
      </c>
      <c r="F221" s="1" t="n">
        <v>200.22</v>
      </c>
      <c r="G221" s="1" t="n">
        <v>9</v>
      </c>
      <c r="H221" s="1" t="n">
        <v>-39.25</v>
      </c>
    </row>
    <row r="222" customFormat="false" ht="15" hidden="false" customHeight="true" outlineLevel="0" collapsed="false">
      <c r="A222" s="1" t="s">
        <v>253</v>
      </c>
      <c r="B222" s="9" t="n">
        <v>45077</v>
      </c>
      <c r="C222" s="1" t="s">
        <v>15</v>
      </c>
      <c r="D222" s="1" t="s">
        <v>27</v>
      </c>
      <c r="E222" s="1" t="s">
        <v>45</v>
      </c>
      <c r="F222" s="1" t="n">
        <v>1125.84</v>
      </c>
      <c r="G222" s="1" t="n">
        <v>3</v>
      </c>
      <c r="H222" s="1" t="n">
        <v>-65.82</v>
      </c>
    </row>
    <row r="223" customFormat="false" ht="15" hidden="false" customHeight="true" outlineLevel="0" collapsed="false">
      <c r="A223" s="1" t="s">
        <v>254</v>
      </c>
      <c r="B223" s="9" t="n">
        <v>45082</v>
      </c>
      <c r="C223" s="1" t="s">
        <v>41</v>
      </c>
      <c r="D223" s="1" t="s">
        <v>22</v>
      </c>
      <c r="E223" s="1" t="s">
        <v>32</v>
      </c>
      <c r="F223" s="1" t="n">
        <v>2212.83</v>
      </c>
      <c r="G223" s="1" t="n">
        <v>8</v>
      </c>
      <c r="H223" s="1" t="n">
        <v>-199.92</v>
      </c>
    </row>
    <row r="224" customFormat="false" ht="15" hidden="false" customHeight="true" outlineLevel="0" collapsed="false">
      <c r="A224" s="1" t="s">
        <v>255</v>
      </c>
      <c r="B224" s="9" t="n">
        <v>45082</v>
      </c>
      <c r="C224" s="1" t="s">
        <v>19</v>
      </c>
      <c r="D224" s="1" t="s">
        <v>16</v>
      </c>
      <c r="E224" s="1" t="s">
        <v>71</v>
      </c>
      <c r="F224" s="1" t="n">
        <v>23.05</v>
      </c>
      <c r="G224" s="1" t="n">
        <v>9</v>
      </c>
      <c r="H224" s="1" t="n">
        <v>3.89</v>
      </c>
    </row>
    <row r="225" customFormat="false" ht="15" hidden="false" customHeight="true" outlineLevel="0" collapsed="false">
      <c r="A225" s="1" t="s">
        <v>256</v>
      </c>
      <c r="B225" s="9" t="n">
        <v>45084</v>
      </c>
      <c r="C225" s="1" t="s">
        <v>19</v>
      </c>
      <c r="D225" s="1" t="s">
        <v>16</v>
      </c>
      <c r="E225" s="1" t="s">
        <v>17</v>
      </c>
      <c r="F225" s="1" t="n">
        <v>2033.19</v>
      </c>
      <c r="G225" s="1" t="n">
        <v>1</v>
      </c>
      <c r="H225" s="1" t="n">
        <v>426.02</v>
      </c>
    </row>
    <row r="226" customFormat="false" ht="15" hidden="false" customHeight="true" outlineLevel="0" collapsed="false">
      <c r="A226" s="1" t="s">
        <v>257</v>
      </c>
      <c r="B226" s="9" t="n">
        <v>45084</v>
      </c>
      <c r="C226" s="1" t="s">
        <v>15</v>
      </c>
      <c r="D226" s="1" t="s">
        <v>27</v>
      </c>
      <c r="E226" s="1" t="s">
        <v>45</v>
      </c>
      <c r="F226" s="1" t="n">
        <v>1672.64</v>
      </c>
      <c r="G226" s="1" t="n">
        <v>4</v>
      </c>
      <c r="H226" s="1" t="n">
        <v>712.93</v>
      </c>
    </row>
    <row r="227" customFormat="false" ht="15" hidden="false" customHeight="true" outlineLevel="0" collapsed="false">
      <c r="A227" s="1" t="s">
        <v>258</v>
      </c>
      <c r="B227" s="9" t="n">
        <v>45087</v>
      </c>
      <c r="C227" s="1" t="s">
        <v>15</v>
      </c>
      <c r="D227" s="1" t="s">
        <v>16</v>
      </c>
      <c r="E227" s="1" t="s">
        <v>58</v>
      </c>
      <c r="F227" s="1" t="n">
        <v>2003.64</v>
      </c>
      <c r="G227" s="1" t="n">
        <v>8</v>
      </c>
      <c r="H227" s="1" t="n">
        <v>95.47</v>
      </c>
    </row>
    <row r="228" customFormat="false" ht="15" hidden="false" customHeight="true" outlineLevel="0" collapsed="false">
      <c r="A228" s="1" t="s">
        <v>259</v>
      </c>
      <c r="B228" s="9" t="n">
        <v>45095</v>
      </c>
      <c r="C228" s="1" t="s">
        <v>15</v>
      </c>
      <c r="D228" s="1" t="s">
        <v>27</v>
      </c>
      <c r="E228" s="1" t="s">
        <v>39</v>
      </c>
      <c r="F228" s="1" t="n">
        <v>875.8</v>
      </c>
      <c r="G228" s="1" t="n">
        <v>6</v>
      </c>
      <c r="H228" s="1" t="n">
        <v>-5.84</v>
      </c>
    </row>
    <row r="229" customFormat="false" ht="15" hidden="false" customHeight="true" outlineLevel="0" collapsed="false">
      <c r="A229" s="1" t="s">
        <v>260</v>
      </c>
      <c r="B229" s="9" t="n">
        <v>45101</v>
      </c>
      <c r="C229" s="1" t="s">
        <v>34</v>
      </c>
      <c r="D229" s="1" t="s">
        <v>27</v>
      </c>
      <c r="E229" s="1" t="s">
        <v>55</v>
      </c>
      <c r="F229" s="1" t="n">
        <v>1624.18</v>
      </c>
      <c r="G229" s="1" t="n">
        <v>5</v>
      </c>
      <c r="H229" s="1" t="n">
        <v>35.39</v>
      </c>
    </row>
    <row r="230" customFormat="false" ht="15" hidden="false" customHeight="true" outlineLevel="0" collapsed="false">
      <c r="A230" s="1" t="s">
        <v>261</v>
      </c>
      <c r="B230" s="9" t="n">
        <v>45102</v>
      </c>
      <c r="C230" s="1" t="s">
        <v>41</v>
      </c>
      <c r="D230" s="1" t="s">
        <v>22</v>
      </c>
      <c r="E230" s="1" t="s">
        <v>32</v>
      </c>
      <c r="F230" s="1" t="n">
        <v>2267.04</v>
      </c>
      <c r="G230" s="1" t="n">
        <v>9</v>
      </c>
      <c r="H230" s="1" t="n">
        <v>-143.57</v>
      </c>
    </row>
    <row r="231" customFormat="false" ht="15" hidden="false" customHeight="true" outlineLevel="0" collapsed="false">
      <c r="A231" s="1" t="s">
        <v>262</v>
      </c>
      <c r="B231" s="9" t="n">
        <v>45103</v>
      </c>
      <c r="C231" s="1" t="s">
        <v>41</v>
      </c>
      <c r="D231" s="1" t="s">
        <v>16</v>
      </c>
      <c r="E231" s="1" t="s">
        <v>17</v>
      </c>
      <c r="F231" s="1" t="n">
        <v>2486.73</v>
      </c>
      <c r="G231" s="1" t="n">
        <v>3</v>
      </c>
      <c r="H231" s="1" t="n">
        <v>-465.35</v>
      </c>
    </row>
    <row r="232" customFormat="false" ht="15" hidden="false" customHeight="true" outlineLevel="0" collapsed="false">
      <c r="A232" s="1" t="s">
        <v>263</v>
      </c>
      <c r="B232" s="9" t="n">
        <v>45107</v>
      </c>
      <c r="C232" s="1" t="s">
        <v>34</v>
      </c>
      <c r="D232" s="1" t="s">
        <v>16</v>
      </c>
      <c r="E232" s="1" t="s">
        <v>58</v>
      </c>
      <c r="F232" s="1" t="n">
        <v>390.11</v>
      </c>
      <c r="G232" s="1" t="n">
        <v>2</v>
      </c>
      <c r="H232" s="1" t="n">
        <v>-62.79</v>
      </c>
    </row>
    <row r="233" customFormat="false" ht="15" hidden="false" customHeight="true" outlineLevel="0" collapsed="false">
      <c r="A233" s="1" t="s">
        <v>264</v>
      </c>
      <c r="B233" s="9" t="n">
        <v>45107</v>
      </c>
      <c r="C233" s="1" t="s">
        <v>15</v>
      </c>
      <c r="D233" s="1" t="s">
        <v>27</v>
      </c>
      <c r="E233" s="1" t="s">
        <v>28</v>
      </c>
      <c r="F233" s="1" t="n">
        <v>269.58</v>
      </c>
      <c r="G233" s="1" t="n">
        <v>3</v>
      </c>
      <c r="H233" s="1" t="n">
        <v>-22.13</v>
      </c>
    </row>
    <row r="234" customFormat="false" ht="15" hidden="false" customHeight="true" outlineLevel="0" collapsed="false">
      <c r="A234" s="1" t="s">
        <v>265</v>
      </c>
      <c r="B234" s="9" t="n">
        <v>45108</v>
      </c>
      <c r="C234" s="1" t="s">
        <v>19</v>
      </c>
      <c r="D234" s="1" t="s">
        <v>16</v>
      </c>
      <c r="E234" s="1" t="s">
        <v>17</v>
      </c>
      <c r="F234" s="1" t="n">
        <v>2026.77</v>
      </c>
      <c r="G234" s="1" t="n">
        <v>8</v>
      </c>
      <c r="H234" s="1" t="n">
        <v>748.07</v>
      </c>
    </row>
    <row r="235" customFormat="false" ht="15" hidden="false" customHeight="true" outlineLevel="0" collapsed="false">
      <c r="A235" s="1" t="s">
        <v>266</v>
      </c>
      <c r="B235" s="9" t="n">
        <v>45115</v>
      </c>
      <c r="C235" s="1" t="s">
        <v>34</v>
      </c>
      <c r="D235" s="1" t="s">
        <v>22</v>
      </c>
      <c r="E235" s="1" t="s">
        <v>32</v>
      </c>
      <c r="F235" s="1" t="n">
        <v>1002.01</v>
      </c>
      <c r="G235" s="1" t="n">
        <v>4</v>
      </c>
      <c r="H235" s="1" t="n">
        <v>391.35</v>
      </c>
    </row>
    <row r="236" customFormat="false" ht="15" hidden="false" customHeight="true" outlineLevel="0" collapsed="false">
      <c r="A236" s="1" t="s">
        <v>267</v>
      </c>
      <c r="B236" s="9" t="n">
        <v>45115</v>
      </c>
      <c r="C236" s="1" t="s">
        <v>34</v>
      </c>
      <c r="D236" s="1" t="s">
        <v>22</v>
      </c>
      <c r="E236" s="1" t="s">
        <v>30</v>
      </c>
      <c r="F236" s="1" t="n">
        <v>865.9</v>
      </c>
      <c r="G236" s="1" t="n">
        <v>7</v>
      </c>
      <c r="H236" s="1" t="n">
        <v>279.77</v>
      </c>
    </row>
    <row r="237" customFormat="false" ht="15" hidden="false" customHeight="true" outlineLevel="0" collapsed="false">
      <c r="A237" s="1" t="s">
        <v>268</v>
      </c>
      <c r="B237" s="9" t="n">
        <v>45115</v>
      </c>
      <c r="C237" s="1" t="s">
        <v>15</v>
      </c>
      <c r="D237" s="1" t="s">
        <v>22</v>
      </c>
      <c r="E237" s="1" t="s">
        <v>32</v>
      </c>
      <c r="F237" s="1" t="n">
        <v>1542.92</v>
      </c>
      <c r="G237" s="1" t="n">
        <v>1</v>
      </c>
      <c r="H237" s="1" t="n">
        <v>542.64</v>
      </c>
    </row>
    <row r="238" customFormat="false" ht="15" hidden="false" customHeight="true" outlineLevel="0" collapsed="false">
      <c r="A238" s="1" t="s">
        <v>269</v>
      </c>
      <c r="B238" s="9" t="n">
        <v>45116</v>
      </c>
      <c r="C238" s="1" t="s">
        <v>34</v>
      </c>
      <c r="D238" s="1" t="s">
        <v>22</v>
      </c>
      <c r="E238" s="1" t="s">
        <v>32</v>
      </c>
      <c r="F238" s="1" t="n">
        <v>33.65</v>
      </c>
      <c r="G238" s="1" t="n">
        <v>1</v>
      </c>
      <c r="H238" s="1" t="n">
        <v>-8.23</v>
      </c>
    </row>
    <row r="239" customFormat="false" ht="15" hidden="false" customHeight="true" outlineLevel="0" collapsed="false">
      <c r="A239" s="1" t="s">
        <v>270</v>
      </c>
      <c r="B239" s="9" t="n">
        <v>45119</v>
      </c>
      <c r="C239" s="1" t="s">
        <v>19</v>
      </c>
      <c r="D239" s="1" t="s">
        <v>16</v>
      </c>
      <c r="E239" s="1" t="s">
        <v>17</v>
      </c>
      <c r="F239" s="1" t="n">
        <v>163.2</v>
      </c>
      <c r="G239" s="1" t="n">
        <v>6</v>
      </c>
      <c r="H239" s="1" t="n">
        <v>36.97</v>
      </c>
    </row>
    <row r="240" customFormat="false" ht="15" hidden="false" customHeight="true" outlineLevel="0" collapsed="false">
      <c r="A240" s="1" t="s">
        <v>271</v>
      </c>
      <c r="B240" s="9" t="n">
        <v>45120</v>
      </c>
      <c r="C240" s="1" t="s">
        <v>41</v>
      </c>
      <c r="D240" s="1" t="s">
        <v>22</v>
      </c>
      <c r="E240" s="1" t="s">
        <v>25</v>
      </c>
      <c r="F240" s="1" t="n">
        <v>2296.03</v>
      </c>
      <c r="G240" s="1" t="n">
        <v>7</v>
      </c>
      <c r="H240" s="1" t="n">
        <v>108.3</v>
      </c>
    </row>
    <row r="241" customFormat="false" ht="15" hidden="false" customHeight="true" outlineLevel="0" collapsed="false">
      <c r="A241" s="1" t="s">
        <v>272</v>
      </c>
      <c r="B241" s="9" t="n">
        <v>45120</v>
      </c>
      <c r="C241" s="1" t="s">
        <v>34</v>
      </c>
      <c r="D241" s="1" t="s">
        <v>27</v>
      </c>
      <c r="E241" s="1" t="s">
        <v>45</v>
      </c>
      <c r="F241" s="1" t="n">
        <v>373.63</v>
      </c>
      <c r="G241" s="1" t="n">
        <v>3</v>
      </c>
      <c r="H241" s="1" t="n">
        <v>139.39</v>
      </c>
    </row>
    <row r="242" customFormat="false" ht="15" hidden="false" customHeight="true" outlineLevel="0" collapsed="false">
      <c r="A242" s="1" t="s">
        <v>273</v>
      </c>
      <c r="B242" s="9" t="n">
        <v>45120</v>
      </c>
      <c r="C242" s="1" t="s">
        <v>41</v>
      </c>
      <c r="D242" s="1" t="s">
        <v>22</v>
      </c>
      <c r="E242" s="1" t="s">
        <v>23</v>
      </c>
      <c r="F242" s="1" t="n">
        <v>856.6</v>
      </c>
      <c r="G242" s="1" t="n">
        <v>9</v>
      </c>
      <c r="H242" s="1" t="n">
        <v>220.56</v>
      </c>
    </row>
    <row r="243" customFormat="false" ht="15" hidden="false" customHeight="true" outlineLevel="0" collapsed="false">
      <c r="A243" s="1" t="s">
        <v>274</v>
      </c>
      <c r="B243" s="9" t="n">
        <v>45127</v>
      </c>
      <c r="C243" s="1" t="s">
        <v>19</v>
      </c>
      <c r="D243" s="1" t="s">
        <v>27</v>
      </c>
      <c r="E243" s="1" t="s">
        <v>45</v>
      </c>
      <c r="F243" s="1" t="n">
        <v>440.34</v>
      </c>
      <c r="G243" s="1" t="n">
        <v>3</v>
      </c>
      <c r="H243" s="1" t="n">
        <v>61.54</v>
      </c>
    </row>
    <row r="244" customFormat="false" ht="15" hidden="false" customHeight="true" outlineLevel="0" collapsed="false">
      <c r="A244" s="1" t="s">
        <v>275</v>
      </c>
      <c r="B244" s="9" t="n">
        <v>45132</v>
      </c>
      <c r="C244" s="1" t="s">
        <v>19</v>
      </c>
      <c r="D244" s="1" t="s">
        <v>22</v>
      </c>
      <c r="E244" s="1" t="s">
        <v>23</v>
      </c>
      <c r="F244" s="1" t="n">
        <v>1971.69</v>
      </c>
      <c r="G244" s="1" t="n">
        <v>3</v>
      </c>
      <c r="H244" s="1" t="n">
        <v>-338.43</v>
      </c>
    </row>
    <row r="245" customFormat="false" ht="15" hidden="false" customHeight="true" outlineLevel="0" collapsed="false">
      <c r="A245" s="1" t="s">
        <v>276</v>
      </c>
      <c r="B245" s="9" t="n">
        <v>45133</v>
      </c>
      <c r="C245" s="1" t="s">
        <v>34</v>
      </c>
      <c r="D245" s="1" t="s">
        <v>16</v>
      </c>
      <c r="E245" s="1" t="s">
        <v>71</v>
      </c>
      <c r="F245" s="1" t="n">
        <v>1653.56</v>
      </c>
      <c r="G245" s="1" t="n">
        <v>1</v>
      </c>
      <c r="H245" s="1" t="n">
        <v>677.93</v>
      </c>
    </row>
    <row r="246" customFormat="false" ht="15" hidden="false" customHeight="true" outlineLevel="0" collapsed="false">
      <c r="A246" s="1" t="s">
        <v>277</v>
      </c>
      <c r="B246" s="9" t="n">
        <v>45135</v>
      </c>
      <c r="C246" s="1" t="s">
        <v>34</v>
      </c>
      <c r="D246" s="1" t="s">
        <v>27</v>
      </c>
      <c r="E246" s="1" t="s">
        <v>39</v>
      </c>
      <c r="F246" s="1" t="n">
        <v>604.52</v>
      </c>
      <c r="G246" s="1" t="n">
        <v>9</v>
      </c>
      <c r="H246" s="1" t="n">
        <v>117.05</v>
      </c>
    </row>
    <row r="247" customFormat="false" ht="15" hidden="false" customHeight="true" outlineLevel="0" collapsed="false">
      <c r="A247" s="1" t="s">
        <v>278</v>
      </c>
      <c r="B247" s="9" t="n">
        <v>45136</v>
      </c>
      <c r="C247" s="1" t="s">
        <v>15</v>
      </c>
      <c r="D247" s="1" t="s">
        <v>22</v>
      </c>
      <c r="E247" s="1" t="s">
        <v>25</v>
      </c>
      <c r="F247" s="1" t="n">
        <v>1651.46</v>
      </c>
      <c r="G247" s="1" t="n">
        <v>1</v>
      </c>
      <c r="H247" s="1" t="n">
        <v>742.48</v>
      </c>
    </row>
    <row r="248" customFormat="false" ht="15" hidden="false" customHeight="true" outlineLevel="0" collapsed="false">
      <c r="A248" s="1" t="s">
        <v>279</v>
      </c>
      <c r="B248" s="9" t="n">
        <v>45136</v>
      </c>
      <c r="C248" s="1" t="s">
        <v>34</v>
      </c>
      <c r="D248" s="1" t="s">
        <v>27</v>
      </c>
      <c r="E248" s="1" t="s">
        <v>39</v>
      </c>
      <c r="F248" s="1" t="n">
        <v>31.49</v>
      </c>
      <c r="G248" s="1" t="n">
        <v>9</v>
      </c>
      <c r="H248" s="1" t="n">
        <v>-0.52</v>
      </c>
    </row>
    <row r="249" customFormat="false" ht="15" hidden="false" customHeight="true" outlineLevel="0" collapsed="false">
      <c r="A249" s="1" t="s">
        <v>280</v>
      </c>
      <c r="B249" s="9" t="n">
        <v>45139</v>
      </c>
      <c r="C249" s="1" t="s">
        <v>19</v>
      </c>
      <c r="D249" s="1" t="s">
        <v>16</v>
      </c>
      <c r="E249" s="1" t="s">
        <v>58</v>
      </c>
      <c r="F249" s="1" t="n">
        <v>738.58</v>
      </c>
      <c r="G249" s="1" t="n">
        <v>9</v>
      </c>
      <c r="H249" s="1" t="n">
        <v>-101.29</v>
      </c>
    </row>
    <row r="250" customFormat="false" ht="15" hidden="false" customHeight="true" outlineLevel="0" collapsed="false">
      <c r="A250" s="1" t="s">
        <v>281</v>
      </c>
      <c r="B250" s="9" t="n">
        <v>45142</v>
      </c>
      <c r="C250" s="1" t="s">
        <v>15</v>
      </c>
      <c r="D250" s="1" t="s">
        <v>16</v>
      </c>
      <c r="E250" s="1" t="s">
        <v>20</v>
      </c>
      <c r="F250" s="1" t="n">
        <v>2134.77</v>
      </c>
      <c r="G250" s="1" t="n">
        <v>5</v>
      </c>
      <c r="H250" s="1" t="n">
        <v>-196.66</v>
      </c>
    </row>
    <row r="251" customFormat="false" ht="15" hidden="false" customHeight="true" outlineLevel="0" collapsed="false">
      <c r="A251" s="1" t="s">
        <v>282</v>
      </c>
      <c r="B251" s="9" t="n">
        <v>45144</v>
      </c>
      <c r="C251" s="1" t="s">
        <v>34</v>
      </c>
      <c r="D251" s="1" t="s">
        <v>27</v>
      </c>
      <c r="E251" s="1" t="s">
        <v>55</v>
      </c>
      <c r="F251" s="1" t="n">
        <v>1989.61</v>
      </c>
      <c r="G251" s="1" t="n">
        <v>3</v>
      </c>
      <c r="H251" s="1" t="n">
        <v>-367.89</v>
      </c>
    </row>
    <row r="252" customFormat="false" ht="15" hidden="false" customHeight="true" outlineLevel="0" collapsed="false">
      <c r="A252" s="1" t="s">
        <v>283</v>
      </c>
      <c r="B252" s="9" t="n">
        <v>45145</v>
      </c>
      <c r="C252" s="1" t="s">
        <v>41</v>
      </c>
      <c r="D252" s="1" t="s">
        <v>27</v>
      </c>
      <c r="E252" s="1" t="s">
        <v>28</v>
      </c>
      <c r="F252" s="1" t="n">
        <v>1463.29</v>
      </c>
      <c r="G252" s="1" t="n">
        <v>1</v>
      </c>
      <c r="H252" s="1" t="n">
        <v>-90.29</v>
      </c>
    </row>
    <row r="253" customFormat="false" ht="15" hidden="false" customHeight="true" outlineLevel="0" collapsed="false">
      <c r="A253" s="1" t="s">
        <v>284</v>
      </c>
      <c r="B253" s="9" t="n">
        <v>45149</v>
      </c>
      <c r="C253" s="1" t="s">
        <v>41</v>
      </c>
      <c r="D253" s="1" t="s">
        <v>27</v>
      </c>
      <c r="E253" s="1" t="s">
        <v>28</v>
      </c>
      <c r="F253" s="1" t="n">
        <v>2174.88</v>
      </c>
      <c r="G253" s="1" t="n">
        <v>8</v>
      </c>
      <c r="H253" s="1" t="n">
        <v>324.99</v>
      </c>
    </row>
    <row r="254" customFormat="false" ht="15" hidden="false" customHeight="true" outlineLevel="0" collapsed="false">
      <c r="A254" s="1" t="s">
        <v>285</v>
      </c>
      <c r="B254" s="9" t="n">
        <v>45149</v>
      </c>
      <c r="C254" s="1" t="s">
        <v>41</v>
      </c>
      <c r="D254" s="1" t="s">
        <v>27</v>
      </c>
      <c r="E254" s="1" t="s">
        <v>39</v>
      </c>
      <c r="F254" s="1" t="n">
        <v>1025.02</v>
      </c>
      <c r="G254" s="1" t="n">
        <v>5</v>
      </c>
      <c r="H254" s="1" t="n">
        <v>100.68</v>
      </c>
    </row>
    <row r="255" customFormat="false" ht="15" hidden="false" customHeight="true" outlineLevel="0" collapsed="false">
      <c r="A255" s="1" t="s">
        <v>286</v>
      </c>
      <c r="B255" s="9" t="n">
        <v>45150</v>
      </c>
      <c r="C255" s="1" t="s">
        <v>34</v>
      </c>
      <c r="D255" s="1" t="s">
        <v>27</v>
      </c>
      <c r="E255" s="1" t="s">
        <v>55</v>
      </c>
      <c r="F255" s="1" t="n">
        <v>199.59</v>
      </c>
      <c r="G255" s="1" t="n">
        <v>6</v>
      </c>
      <c r="H255" s="1" t="n">
        <v>24.74</v>
      </c>
    </row>
    <row r="256" customFormat="false" ht="15" hidden="false" customHeight="true" outlineLevel="0" collapsed="false">
      <c r="A256" s="1" t="s">
        <v>287</v>
      </c>
      <c r="B256" s="9" t="n">
        <v>45152</v>
      </c>
      <c r="C256" s="1" t="s">
        <v>41</v>
      </c>
      <c r="D256" s="1" t="s">
        <v>27</v>
      </c>
      <c r="E256" s="1" t="s">
        <v>39</v>
      </c>
      <c r="F256" s="1" t="n">
        <v>2174.19</v>
      </c>
      <c r="G256" s="1" t="n">
        <v>2</v>
      </c>
      <c r="H256" s="1" t="n">
        <v>638.38</v>
      </c>
    </row>
    <row r="257" customFormat="false" ht="15" hidden="false" customHeight="true" outlineLevel="0" collapsed="false">
      <c r="A257" s="1" t="s">
        <v>288</v>
      </c>
      <c r="B257" s="9" t="n">
        <v>45154</v>
      </c>
      <c r="C257" s="1" t="s">
        <v>19</v>
      </c>
      <c r="D257" s="1" t="s">
        <v>27</v>
      </c>
      <c r="E257" s="1" t="s">
        <v>55</v>
      </c>
      <c r="F257" s="1" t="n">
        <v>2436.88</v>
      </c>
      <c r="G257" s="1" t="n">
        <v>8</v>
      </c>
      <c r="H257" s="1" t="n">
        <v>720.9</v>
      </c>
    </row>
    <row r="258" customFormat="false" ht="15" hidden="false" customHeight="true" outlineLevel="0" collapsed="false">
      <c r="A258" s="1" t="s">
        <v>289</v>
      </c>
      <c r="B258" s="9" t="n">
        <v>45155</v>
      </c>
      <c r="C258" s="1" t="s">
        <v>15</v>
      </c>
      <c r="D258" s="1" t="s">
        <v>22</v>
      </c>
      <c r="E258" s="1" t="s">
        <v>23</v>
      </c>
      <c r="F258" s="1" t="n">
        <v>2327.88</v>
      </c>
      <c r="G258" s="1" t="n">
        <v>3</v>
      </c>
      <c r="H258" s="1" t="n">
        <v>-392.35</v>
      </c>
    </row>
    <row r="259" customFormat="false" ht="15" hidden="false" customHeight="true" outlineLevel="0" collapsed="false">
      <c r="A259" s="1" t="s">
        <v>290</v>
      </c>
      <c r="B259" s="9" t="n">
        <v>45155</v>
      </c>
      <c r="C259" s="1" t="s">
        <v>41</v>
      </c>
      <c r="D259" s="1" t="s">
        <v>27</v>
      </c>
      <c r="E259" s="1" t="s">
        <v>55</v>
      </c>
      <c r="F259" s="1" t="n">
        <v>305.9</v>
      </c>
      <c r="G259" s="1" t="n">
        <v>4</v>
      </c>
      <c r="H259" s="1" t="n">
        <v>13.84</v>
      </c>
    </row>
    <row r="260" customFormat="false" ht="15" hidden="false" customHeight="true" outlineLevel="0" collapsed="false">
      <c r="A260" s="1" t="s">
        <v>291</v>
      </c>
      <c r="B260" s="9" t="n">
        <v>45157</v>
      </c>
      <c r="C260" s="1" t="s">
        <v>15</v>
      </c>
      <c r="D260" s="1" t="s">
        <v>27</v>
      </c>
      <c r="E260" s="1" t="s">
        <v>39</v>
      </c>
      <c r="F260" s="1" t="n">
        <v>1375.69</v>
      </c>
      <c r="G260" s="1" t="n">
        <v>9</v>
      </c>
      <c r="H260" s="1" t="n">
        <v>22.4</v>
      </c>
    </row>
    <row r="261" customFormat="false" ht="15" hidden="false" customHeight="true" outlineLevel="0" collapsed="false">
      <c r="A261" s="1" t="s">
        <v>292</v>
      </c>
      <c r="B261" s="9" t="n">
        <v>45157</v>
      </c>
      <c r="C261" s="1" t="s">
        <v>19</v>
      </c>
      <c r="D261" s="1" t="s">
        <v>22</v>
      </c>
      <c r="E261" s="1" t="s">
        <v>32</v>
      </c>
      <c r="F261" s="1" t="n">
        <v>1946.24</v>
      </c>
      <c r="G261" s="1" t="n">
        <v>9</v>
      </c>
      <c r="H261" s="1" t="n">
        <v>-397.51</v>
      </c>
    </row>
    <row r="262" customFormat="false" ht="15" hidden="false" customHeight="true" outlineLevel="0" collapsed="false">
      <c r="A262" s="1" t="s">
        <v>293</v>
      </c>
      <c r="B262" s="9" t="n">
        <v>45159</v>
      </c>
      <c r="C262" s="1" t="s">
        <v>15</v>
      </c>
      <c r="D262" s="1" t="s">
        <v>22</v>
      </c>
      <c r="E262" s="1" t="s">
        <v>23</v>
      </c>
      <c r="F262" s="1" t="n">
        <v>1214.45</v>
      </c>
      <c r="G262" s="1" t="n">
        <v>7</v>
      </c>
      <c r="H262" s="1" t="n">
        <v>-153.24</v>
      </c>
    </row>
    <row r="263" customFormat="false" ht="15" hidden="false" customHeight="true" outlineLevel="0" collapsed="false">
      <c r="A263" s="1" t="s">
        <v>294</v>
      </c>
      <c r="B263" s="9" t="n">
        <v>45163</v>
      </c>
      <c r="C263" s="1" t="s">
        <v>41</v>
      </c>
      <c r="D263" s="1" t="s">
        <v>16</v>
      </c>
      <c r="E263" s="1" t="s">
        <v>71</v>
      </c>
      <c r="F263" s="1" t="n">
        <v>660.27</v>
      </c>
      <c r="G263" s="1" t="n">
        <v>5</v>
      </c>
      <c r="H263" s="1" t="n">
        <v>146.73</v>
      </c>
    </row>
    <row r="264" customFormat="false" ht="15" hidden="false" customHeight="true" outlineLevel="0" collapsed="false">
      <c r="A264" s="1" t="s">
        <v>295</v>
      </c>
      <c r="B264" s="9" t="n">
        <v>45168</v>
      </c>
      <c r="C264" s="1" t="s">
        <v>19</v>
      </c>
      <c r="D264" s="1" t="s">
        <v>27</v>
      </c>
      <c r="E264" s="1" t="s">
        <v>28</v>
      </c>
      <c r="F264" s="1" t="n">
        <v>1707.53</v>
      </c>
      <c r="G264" s="1" t="n">
        <v>9</v>
      </c>
      <c r="H264" s="1" t="n">
        <v>45.9</v>
      </c>
    </row>
    <row r="265" customFormat="false" ht="15" hidden="false" customHeight="true" outlineLevel="0" collapsed="false">
      <c r="A265" s="1" t="s">
        <v>296</v>
      </c>
      <c r="B265" s="9" t="n">
        <v>45173</v>
      </c>
      <c r="C265" s="1" t="s">
        <v>19</v>
      </c>
      <c r="D265" s="1" t="s">
        <v>22</v>
      </c>
      <c r="E265" s="1" t="s">
        <v>30</v>
      </c>
      <c r="F265" s="1" t="n">
        <v>1421.16</v>
      </c>
      <c r="G265" s="1" t="n">
        <v>3</v>
      </c>
      <c r="H265" s="1" t="n">
        <v>506.76</v>
      </c>
    </row>
    <row r="266" customFormat="false" ht="15" hidden="false" customHeight="true" outlineLevel="0" collapsed="false">
      <c r="A266" s="1" t="s">
        <v>297</v>
      </c>
      <c r="B266" s="9" t="n">
        <v>45177</v>
      </c>
      <c r="C266" s="1" t="s">
        <v>19</v>
      </c>
      <c r="D266" s="1" t="s">
        <v>16</v>
      </c>
      <c r="E266" s="1" t="s">
        <v>71</v>
      </c>
      <c r="F266" s="1" t="n">
        <v>1713.8</v>
      </c>
      <c r="G266" s="1" t="n">
        <v>3</v>
      </c>
      <c r="H266" s="1" t="n">
        <v>113.73</v>
      </c>
    </row>
    <row r="267" customFormat="false" ht="15" hidden="false" customHeight="true" outlineLevel="0" collapsed="false">
      <c r="A267" s="1" t="s">
        <v>298</v>
      </c>
      <c r="B267" s="9" t="n">
        <v>45179</v>
      </c>
      <c r="C267" s="1" t="s">
        <v>41</v>
      </c>
      <c r="D267" s="1" t="s">
        <v>22</v>
      </c>
      <c r="E267" s="1" t="s">
        <v>32</v>
      </c>
      <c r="F267" s="1" t="n">
        <v>1107.58</v>
      </c>
      <c r="G267" s="1" t="n">
        <v>6</v>
      </c>
      <c r="H267" s="1" t="n">
        <v>-107.48</v>
      </c>
    </row>
    <row r="268" customFormat="false" ht="15" hidden="false" customHeight="true" outlineLevel="0" collapsed="false">
      <c r="A268" s="1" t="s">
        <v>299</v>
      </c>
      <c r="B268" s="9" t="n">
        <v>45180</v>
      </c>
      <c r="C268" s="1" t="s">
        <v>41</v>
      </c>
      <c r="D268" s="1" t="s">
        <v>16</v>
      </c>
      <c r="E268" s="1" t="s">
        <v>71</v>
      </c>
      <c r="F268" s="1" t="n">
        <v>2271.59</v>
      </c>
      <c r="G268" s="1" t="n">
        <v>5</v>
      </c>
      <c r="H268" s="1" t="n">
        <v>932.69</v>
      </c>
    </row>
    <row r="269" customFormat="false" ht="15" hidden="false" customHeight="true" outlineLevel="0" collapsed="false">
      <c r="A269" s="1" t="s">
        <v>300</v>
      </c>
      <c r="B269" s="9" t="n">
        <v>45181</v>
      </c>
      <c r="C269" s="1" t="s">
        <v>15</v>
      </c>
      <c r="D269" s="1" t="s">
        <v>27</v>
      </c>
      <c r="E269" s="1" t="s">
        <v>39</v>
      </c>
      <c r="F269" s="1" t="n">
        <v>1213.71</v>
      </c>
      <c r="G269" s="1" t="n">
        <v>1</v>
      </c>
      <c r="H269" s="1" t="n">
        <v>459.23</v>
      </c>
    </row>
    <row r="270" customFormat="false" ht="15" hidden="false" customHeight="true" outlineLevel="0" collapsed="false">
      <c r="A270" s="1" t="s">
        <v>301</v>
      </c>
      <c r="B270" s="9" t="n">
        <v>45181</v>
      </c>
      <c r="C270" s="1" t="s">
        <v>41</v>
      </c>
      <c r="D270" s="1" t="s">
        <v>16</v>
      </c>
      <c r="E270" s="1" t="s">
        <v>17</v>
      </c>
      <c r="F270" s="1" t="n">
        <v>1471.68</v>
      </c>
      <c r="G270" s="1" t="n">
        <v>4</v>
      </c>
      <c r="H270" s="1" t="n">
        <v>526.55</v>
      </c>
    </row>
    <row r="271" customFormat="false" ht="15" hidden="false" customHeight="true" outlineLevel="0" collapsed="false">
      <c r="A271" s="1" t="s">
        <v>302</v>
      </c>
      <c r="B271" s="9" t="n">
        <v>45182</v>
      </c>
      <c r="C271" s="1" t="s">
        <v>41</v>
      </c>
      <c r="D271" s="1" t="s">
        <v>22</v>
      </c>
      <c r="E271" s="1" t="s">
        <v>30</v>
      </c>
      <c r="F271" s="1" t="n">
        <v>1831.63</v>
      </c>
      <c r="G271" s="1" t="n">
        <v>2</v>
      </c>
      <c r="H271" s="1" t="n">
        <v>372.55</v>
      </c>
    </row>
    <row r="272" customFormat="false" ht="15" hidden="false" customHeight="true" outlineLevel="0" collapsed="false">
      <c r="A272" s="1" t="s">
        <v>303</v>
      </c>
      <c r="B272" s="9" t="n">
        <v>45191</v>
      </c>
      <c r="C272" s="1" t="s">
        <v>19</v>
      </c>
      <c r="D272" s="1" t="s">
        <v>16</v>
      </c>
      <c r="E272" s="1" t="s">
        <v>58</v>
      </c>
      <c r="F272" s="1" t="n">
        <v>601.99</v>
      </c>
      <c r="G272" s="1" t="n">
        <v>9</v>
      </c>
      <c r="H272" s="1" t="n">
        <v>221.89</v>
      </c>
    </row>
    <row r="273" customFormat="false" ht="15" hidden="false" customHeight="true" outlineLevel="0" collapsed="false">
      <c r="A273" s="1" t="s">
        <v>304</v>
      </c>
      <c r="B273" s="9" t="n">
        <v>45193</v>
      </c>
      <c r="C273" s="1" t="s">
        <v>41</v>
      </c>
      <c r="D273" s="1" t="s">
        <v>22</v>
      </c>
      <c r="E273" s="1" t="s">
        <v>25</v>
      </c>
      <c r="F273" s="1" t="n">
        <v>1420.28</v>
      </c>
      <c r="G273" s="1" t="n">
        <v>7</v>
      </c>
      <c r="H273" s="1" t="n">
        <v>569.7</v>
      </c>
    </row>
    <row r="274" customFormat="false" ht="15" hidden="false" customHeight="true" outlineLevel="0" collapsed="false">
      <c r="A274" s="1" t="s">
        <v>305</v>
      </c>
      <c r="B274" s="9" t="n">
        <v>45198</v>
      </c>
      <c r="C274" s="1" t="s">
        <v>41</v>
      </c>
      <c r="D274" s="1" t="s">
        <v>16</v>
      </c>
      <c r="E274" s="1" t="s">
        <v>58</v>
      </c>
      <c r="F274" s="1" t="n">
        <v>1500.68</v>
      </c>
      <c r="G274" s="1" t="n">
        <v>9</v>
      </c>
      <c r="H274" s="1" t="n">
        <v>334.79</v>
      </c>
    </row>
    <row r="275" customFormat="false" ht="15" hidden="false" customHeight="true" outlineLevel="0" collapsed="false">
      <c r="A275" s="1" t="s">
        <v>306</v>
      </c>
      <c r="B275" s="9" t="n">
        <v>45199</v>
      </c>
      <c r="C275" s="1" t="s">
        <v>41</v>
      </c>
      <c r="D275" s="1" t="s">
        <v>22</v>
      </c>
      <c r="E275" s="1" t="s">
        <v>32</v>
      </c>
      <c r="F275" s="1" t="n">
        <v>1156.3</v>
      </c>
      <c r="G275" s="1" t="n">
        <v>7</v>
      </c>
      <c r="H275" s="1" t="n">
        <v>101.84</v>
      </c>
    </row>
    <row r="276" customFormat="false" ht="15" hidden="false" customHeight="true" outlineLevel="0" collapsed="false">
      <c r="A276" s="1" t="s">
        <v>307</v>
      </c>
      <c r="B276" s="9" t="n">
        <v>45200</v>
      </c>
      <c r="C276" s="1" t="s">
        <v>34</v>
      </c>
      <c r="D276" s="1" t="s">
        <v>22</v>
      </c>
      <c r="E276" s="1" t="s">
        <v>25</v>
      </c>
      <c r="F276" s="1" t="n">
        <v>656.6</v>
      </c>
      <c r="G276" s="1" t="n">
        <v>2</v>
      </c>
      <c r="H276" s="1" t="n">
        <v>141.63</v>
      </c>
    </row>
    <row r="277" customFormat="false" ht="15" hidden="false" customHeight="true" outlineLevel="0" collapsed="false">
      <c r="A277" s="1" t="s">
        <v>308</v>
      </c>
      <c r="B277" s="9" t="n">
        <v>45200</v>
      </c>
      <c r="C277" s="1" t="s">
        <v>41</v>
      </c>
      <c r="D277" s="1" t="s">
        <v>22</v>
      </c>
      <c r="E277" s="1" t="s">
        <v>25</v>
      </c>
      <c r="F277" s="1" t="n">
        <v>1039.52</v>
      </c>
      <c r="G277" s="1" t="n">
        <v>2</v>
      </c>
      <c r="H277" s="1" t="n">
        <v>-7.13</v>
      </c>
    </row>
    <row r="278" customFormat="false" ht="15" hidden="false" customHeight="true" outlineLevel="0" collapsed="false">
      <c r="A278" s="1" t="s">
        <v>309</v>
      </c>
      <c r="B278" s="9" t="n">
        <v>45207</v>
      </c>
      <c r="C278" s="1" t="s">
        <v>41</v>
      </c>
      <c r="D278" s="1" t="s">
        <v>27</v>
      </c>
      <c r="E278" s="1" t="s">
        <v>39</v>
      </c>
      <c r="F278" s="1" t="n">
        <v>755.29</v>
      </c>
      <c r="G278" s="1" t="n">
        <v>9</v>
      </c>
      <c r="H278" s="1" t="n">
        <v>296.64</v>
      </c>
    </row>
    <row r="279" customFormat="false" ht="15" hidden="false" customHeight="true" outlineLevel="0" collapsed="false">
      <c r="A279" s="1" t="s">
        <v>310</v>
      </c>
      <c r="B279" s="9" t="n">
        <v>45207</v>
      </c>
      <c r="C279" s="1" t="s">
        <v>19</v>
      </c>
      <c r="D279" s="1" t="s">
        <v>27</v>
      </c>
      <c r="E279" s="1" t="s">
        <v>28</v>
      </c>
      <c r="F279" s="1" t="n">
        <v>1448.48</v>
      </c>
      <c r="G279" s="1" t="n">
        <v>1</v>
      </c>
      <c r="H279" s="1" t="n">
        <v>568.06</v>
      </c>
    </row>
    <row r="280" customFormat="false" ht="15" hidden="false" customHeight="true" outlineLevel="0" collapsed="false">
      <c r="A280" s="1" t="s">
        <v>311</v>
      </c>
      <c r="B280" s="9" t="n">
        <v>45208</v>
      </c>
      <c r="C280" s="1" t="s">
        <v>15</v>
      </c>
      <c r="D280" s="1" t="s">
        <v>22</v>
      </c>
      <c r="E280" s="1" t="s">
        <v>23</v>
      </c>
      <c r="F280" s="1" t="n">
        <v>1489.19</v>
      </c>
      <c r="G280" s="1" t="n">
        <v>9</v>
      </c>
      <c r="H280" s="1" t="n">
        <v>-323.88</v>
      </c>
    </row>
    <row r="281" customFormat="false" ht="15" hidden="false" customHeight="true" outlineLevel="0" collapsed="false">
      <c r="A281" s="1" t="s">
        <v>312</v>
      </c>
      <c r="B281" s="9" t="n">
        <v>45209</v>
      </c>
      <c r="C281" s="1" t="s">
        <v>34</v>
      </c>
      <c r="D281" s="1" t="s">
        <v>27</v>
      </c>
      <c r="E281" s="1" t="s">
        <v>39</v>
      </c>
      <c r="F281" s="1" t="n">
        <v>204.89</v>
      </c>
      <c r="G281" s="1" t="n">
        <v>3</v>
      </c>
      <c r="H281" s="1" t="n">
        <v>90.32</v>
      </c>
    </row>
    <row r="282" customFormat="false" ht="15" hidden="false" customHeight="true" outlineLevel="0" collapsed="false">
      <c r="A282" s="1" t="s">
        <v>313</v>
      </c>
      <c r="B282" s="9" t="n">
        <v>45215</v>
      </c>
      <c r="C282" s="1" t="s">
        <v>34</v>
      </c>
      <c r="D282" s="1" t="s">
        <v>16</v>
      </c>
      <c r="E282" s="1" t="s">
        <v>71</v>
      </c>
      <c r="F282" s="1" t="n">
        <v>195.93</v>
      </c>
      <c r="G282" s="1" t="n">
        <v>3</v>
      </c>
      <c r="H282" s="1" t="n">
        <v>5.44</v>
      </c>
    </row>
    <row r="283" customFormat="false" ht="15" hidden="false" customHeight="true" outlineLevel="0" collapsed="false">
      <c r="A283" s="1" t="s">
        <v>314</v>
      </c>
      <c r="B283" s="9" t="n">
        <v>45215</v>
      </c>
      <c r="C283" s="1" t="s">
        <v>34</v>
      </c>
      <c r="D283" s="1" t="s">
        <v>22</v>
      </c>
      <c r="E283" s="1" t="s">
        <v>32</v>
      </c>
      <c r="F283" s="1" t="n">
        <v>1334</v>
      </c>
      <c r="G283" s="1" t="n">
        <v>6</v>
      </c>
      <c r="H283" s="1" t="n">
        <v>326.91</v>
      </c>
    </row>
    <row r="284" customFormat="false" ht="15" hidden="false" customHeight="true" outlineLevel="0" collapsed="false">
      <c r="A284" s="1" t="s">
        <v>315</v>
      </c>
      <c r="B284" s="9" t="n">
        <v>45217</v>
      </c>
      <c r="C284" s="1" t="s">
        <v>41</v>
      </c>
      <c r="D284" s="1" t="s">
        <v>22</v>
      </c>
      <c r="E284" s="1" t="s">
        <v>30</v>
      </c>
      <c r="F284" s="1" t="n">
        <v>2489.66</v>
      </c>
      <c r="G284" s="1" t="n">
        <v>9</v>
      </c>
      <c r="H284" s="1" t="n">
        <v>592.16</v>
      </c>
    </row>
    <row r="285" customFormat="false" ht="15" hidden="false" customHeight="true" outlineLevel="0" collapsed="false">
      <c r="A285" s="1" t="s">
        <v>316</v>
      </c>
      <c r="B285" s="9" t="n">
        <v>45218</v>
      </c>
      <c r="C285" s="1" t="s">
        <v>34</v>
      </c>
      <c r="D285" s="1" t="s">
        <v>27</v>
      </c>
      <c r="E285" s="1" t="s">
        <v>55</v>
      </c>
      <c r="F285" s="1" t="n">
        <v>2440.11</v>
      </c>
      <c r="G285" s="1" t="n">
        <v>3</v>
      </c>
      <c r="H285" s="1" t="n">
        <v>271.85</v>
      </c>
    </row>
    <row r="286" customFormat="false" ht="15" hidden="false" customHeight="true" outlineLevel="0" collapsed="false">
      <c r="A286" s="1" t="s">
        <v>317</v>
      </c>
      <c r="B286" s="9" t="n">
        <v>45221</v>
      </c>
      <c r="C286" s="1" t="s">
        <v>34</v>
      </c>
      <c r="D286" s="1" t="s">
        <v>27</v>
      </c>
      <c r="E286" s="1" t="s">
        <v>45</v>
      </c>
      <c r="F286" s="1" t="n">
        <v>482.57</v>
      </c>
      <c r="G286" s="1" t="n">
        <v>4</v>
      </c>
      <c r="H286" s="1" t="n">
        <v>-106.87</v>
      </c>
    </row>
    <row r="287" customFormat="false" ht="15" hidden="false" customHeight="true" outlineLevel="0" collapsed="false">
      <c r="A287" s="1" t="s">
        <v>318</v>
      </c>
      <c r="B287" s="9" t="n">
        <v>45222</v>
      </c>
      <c r="C287" s="1" t="s">
        <v>15</v>
      </c>
      <c r="D287" s="1" t="s">
        <v>27</v>
      </c>
      <c r="E287" s="1" t="s">
        <v>55</v>
      </c>
      <c r="F287" s="1" t="n">
        <v>1465.36</v>
      </c>
      <c r="G287" s="1" t="n">
        <v>4</v>
      </c>
      <c r="H287" s="1" t="n">
        <v>654.73</v>
      </c>
    </row>
    <row r="288" customFormat="false" ht="15" hidden="false" customHeight="true" outlineLevel="0" collapsed="false">
      <c r="A288" s="1" t="s">
        <v>319</v>
      </c>
      <c r="B288" s="9" t="n">
        <v>45222</v>
      </c>
      <c r="C288" s="1" t="s">
        <v>19</v>
      </c>
      <c r="D288" s="1" t="s">
        <v>22</v>
      </c>
      <c r="E288" s="1" t="s">
        <v>30</v>
      </c>
      <c r="F288" s="1" t="n">
        <v>1058.08</v>
      </c>
      <c r="G288" s="1" t="n">
        <v>7</v>
      </c>
      <c r="H288" s="1" t="n">
        <v>320.85</v>
      </c>
    </row>
    <row r="289" customFormat="false" ht="15" hidden="false" customHeight="true" outlineLevel="0" collapsed="false">
      <c r="A289" s="1" t="s">
        <v>320</v>
      </c>
      <c r="B289" s="9" t="n">
        <v>45222</v>
      </c>
      <c r="C289" s="1" t="s">
        <v>41</v>
      </c>
      <c r="D289" s="1" t="s">
        <v>16</v>
      </c>
      <c r="E289" s="1" t="s">
        <v>71</v>
      </c>
      <c r="F289" s="1" t="n">
        <v>1803.52</v>
      </c>
      <c r="G289" s="1" t="n">
        <v>3</v>
      </c>
      <c r="H289" s="1" t="n">
        <v>260.3</v>
      </c>
    </row>
    <row r="290" customFormat="false" ht="15" hidden="false" customHeight="true" outlineLevel="0" collapsed="false">
      <c r="A290" s="1" t="s">
        <v>321</v>
      </c>
      <c r="B290" s="9" t="n">
        <v>45222</v>
      </c>
      <c r="C290" s="1" t="s">
        <v>34</v>
      </c>
      <c r="D290" s="1" t="s">
        <v>22</v>
      </c>
      <c r="E290" s="1" t="s">
        <v>23</v>
      </c>
      <c r="F290" s="1" t="n">
        <v>1890.54</v>
      </c>
      <c r="G290" s="1" t="n">
        <v>1</v>
      </c>
      <c r="H290" s="1" t="n">
        <v>47.71</v>
      </c>
    </row>
    <row r="291" customFormat="false" ht="15" hidden="false" customHeight="true" outlineLevel="0" collapsed="false">
      <c r="A291" s="1" t="s">
        <v>322</v>
      </c>
      <c r="B291" s="9" t="n">
        <v>45223</v>
      </c>
      <c r="C291" s="1" t="s">
        <v>15</v>
      </c>
      <c r="D291" s="1" t="s">
        <v>27</v>
      </c>
      <c r="E291" s="1" t="s">
        <v>45</v>
      </c>
      <c r="F291" s="1" t="n">
        <v>2466.56</v>
      </c>
      <c r="G291" s="1" t="n">
        <v>6</v>
      </c>
      <c r="H291" s="1" t="n">
        <v>429.29</v>
      </c>
    </row>
    <row r="292" customFormat="false" ht="15" hidden="false" customHeight="true" outlineLevel="0" collapsed="false">
      <c r="A292" s="1" t="s">
        <v>323</v>
      </c>
      <c r="B292" s="9" t="n">
        <v>45225</v>
      </c>
      <c r="C292" s="1" t="s">
        <v>15</v>
      </c>
      <c r="D292" s="1" t="s">
        <v>22</v>
      </c>
      <c r="E292" s="1" t="s">
        <v>30</v>
      </c>
      <c r="F292" s="1" t="n">
        <v>1142.05</v>
      </c>
      <c r="G292" s="1" t="n">
        <v>7</v>
      </c>
      <c r="H292" s="1" t="n">
        <v>-172.91</v>
      </c>
    </row>
    <row r="293" customFormat="false" ht="15" hidden="false" customHeight="true" outlineLevel="0" collapsed="false">
      <c r="A293" s="1" t="s">
        <v>324</v>
      </c>
      <c r="B293" s="9" t="n">
        <v>45225</v>
      </c>
      <c r="C293" s="1" t="s">
        <v>15</v>
      </c>
      <c r="D293" s="1" t="s">
        <v>27</v>
      </c>
      <c r="E293" s="1" t="s">
        <v>45</v>
      </c>
      <c r="F293" s="1" t="n">
        <v>1654.41</v>
      </c>
      <c r="G293" s="1" t="n">
        <v>5</v>
      </c>
      <c r="H293" s="1" t="n">
        <v>515.33</v>
      </c>
    </row>
    <row r="294" customFormat="false" ht="15" hidden="false" customHeight="true" outlineLevel="0" collapsed="false">
      <c r="A294" s="1" t="s">
        <v>325</v>
      </c>
      <c r="B294" s="9" t="n">
        <v>45226</v>
      </c>
      <c r="C294" s="1" t="s">
        <v>15</v>
      </c>
      <c r="D294" s="1" t="s">
        <v>27</v>
      </c>
      <c r="E294" s="1" t="s">
        <v>28</v>
      </c>
      <c r="F294" s="1" t="n">
        <v>1100.06</v>
      </c>
      <c r="G294" s="1" t="n">
        <v>7</v>
      </c>
      <c r="H294" s="1" t="n">
        <v>-19.28</v>
      </c>
    </row>
    <row r="295" customFormat="false" ht="15" hidden="false" customHeight="true" outlineLevel="0" collapsed="false">
      <c r="A295" s="1" t="s">
        <v>326</v>
      </c>
      <c r="B295" s="9" t="n">
        <v>45226</v>
      </c>
      <c r="C295" s="1" t="s">
        <v>15</v>
      </c>
      <c r="D295" s="1" t="s">
        <v>22</v>
      </c>
      <c r="E295" s="1" t="s">
        <v>32</v>
      </c>
      <c r="F295" s="1" t="n">
        <v>1874.07</v>
      </c>
      <c r="G295" s="1" t="n">
        <v>1</v>
      </c>
      <c r="H295" s="1" t="n">
        <v>190.98</v>
      </c>
    </row>
    <row r="296" customFormat="false" ht="15" hidden="false" customHeight="true" outlineLevel="0" collapsed="false">
      <c r="A296" s="1" t="s">
        <v>327</v>
      </c>
      <c r="B296" s="9" t="n">
        <v>45228</v>
      </c>
      <c r="C296" s="1" t="s">
        <v>19</v>
      </c>
      <c r="D296" s="1" t="s">
        <v>22</v>
      </c>
      <c r="E296" s="1" t="s">
        <v>23</v>
      </c>
      <c r="F296" s="1" t="n">
        <v>1662.84</v>
      </c>
      <c r="G296" s="1" t="n">
        <v>3</v>
      </c>
      <c r="H296" s="1" t="n">
        <v>-277.77</v>
      </c>
    </row>
    <row r="297" customFormat="false" ht="15" hidden="false" customHeight="true" outlineLevel="0" collapsed="false">
      <c r="A297" s="1" t="s">
        <v>328</v>
      </c>
      <c r="B297" s="9" t="n">
        <v>45233</v>
      </c>
      <c r="C297" s="1" t="s">
        <v>19</v>
      </c>
      <c r="D297" s="1" t="s">
        <v>22</v>
      </c>
      <c r="E297" s="1" t="s">
        <v>30</v>
      </c>
      <c r="F297" s="1" t="n">
        <v>2188.31</v>
      </c>
      <c r="G297" s="1" t="n">
        <v>3</v>
      </c>
      <c r="H297" s="1" t="n">
        <v>242.17</v>
      </c>
    </row>
    <row r="298" customFormat="false" ht="15" hidden="false" customHeight="true" outlineLevel="0" collapsed="false">
      <c r="A298" s="1" t="s">
        <v>329</v>
      </c>
      <c r="B298" s="9" t="n">
        <v>45234</v>
      </c>
      <c r="C298" s="1" t="s">
        <v>19</v>
      </c>
      <c r="D298" s="1" t="s">
        <v>22</v>
      </c>
      <c r="E298" s="1" t="s">
        <v>30</v>
      </c>
      <c r="F298" s="1" t="n">
        <v>1257.24</v>
      </c>
      <c r="G298" s="1" t="n">
        <v>8</v>
      </c>
      <c r="H298" s="1" t="n">
        <v>229.71</v>
      </c>
    </row>
    <row r="299" customFormat="false" ht="15" hidden="false" customHeight="true" outlineLevel="0" collapsed="false">
      <c r="A299" s="1" t="s">
        <v>330</v>
      </c>
      <c r="B299" s="9" t="n">
        <v>45236</v>
      </c>
      <c r="C299" s="1" t="s">
        <v>15</v>
      </c>
      <c r="D299" s="1" t="s">
        <v>16</v>
      </c>
      <c r="E299" s="1" t="s">
        <v>20</v>
      </c>
      <c r="F299" s="1" t="n">
        <v>67.93</v>
      </c>
      <c r="G299" s="1" t="n">
        <v>3</v>
      </c>
      <c r="H299" s="1" t="n">
        <v>-11.07</v>
      </c>
    </row>
    <row r="300" customFormat="false" ht="15" hidden="false" customHeight="true" outlineLevel="0" collapsed="false">
      <c r="A300" s="1" t="s">
        <v>331</v>
      </c>
      <c r="B300" s="9" t="n">
        <v>45240</v>
      </c>
      <c r="C300" s="1" t="s">
        <v>19</v>
      </c>
      <c r="D300" s="1" t="s">
        <v>16</v>
      </c>
      <c r="E300" s="1" t="s">
        <v>17</v>
      </c>
      <c r="F300" s="1" t="n">
        <v>940.51</v>
      </c>
      <c r="G300" s="1" t="n">
        <v>8</v>
      </c>
      <c r="H300" s="1" t="n">
        <v>160.59</v>
      </c>
    </row>
    <row r="301" customFormat="false" ht="15" hidden="false" customHeight="true" outlineLevel="0" collapsed="false">
      <c r="A301" s="1" t="s">
        <v>332</v>
      </c>
      <c r="B301" s="9" t="n">
        <v>45241</v>
      </c>
      <c r="C301" s="1" t="s">
        <v>41</v>
      </c>
      <c r="D301" s="1" t="s">
        <v>27</v>
      </c>
      <c r="E301" s="1" t="s">
        <v>39</v>
      </c>
      <c r="F301" s="1" t="n">
        <v>172.1</v>
      </c>
      <c r="G301" s="1" t="n">
        <v>7</v>
      </c>
      <c r="H301" s="1" t="n">
        <v>0.61</v>
      </c>
    </row>
    <row r="302" customFormat="false" ht="15" hidden="false" customHeight="true" outlineLevel="0" collapsed="false">
      <c r="A302" s="1" t="s">
        <v>333</v>
      </c>
      <c r="B302" s="9" t="n">
        <v>45244</v>
      </c>
      <c r="C302" s="1" t="s">
        <v>34</v>
      </c>
      <c r="D302" s="1" t="s">
        <v>22</v>
      </c>
      <c r="E302" s="1" t="s">
        <v>32</v>
      </c>
      <c r="F302" s="1" t="n">
        <v>654.92</v>
      </c>
      <c r="G302" s="1" t="n">
        <v>4</v>
      </c>
      <c r="H302" s="1" t="n">
        <v>169.14</v>
      </c>
    </row>
    <row r="303" customFormat="false" ht="15" hidden="false" customHeight="true" outlineLevel="0" collapsed="false">
      <c r="A303" s="1" t="s">
        <v>334</v>
      </c>
      <c r="B303" s="9" t="n">
        <v>45247</v>
      </c>
      <c r="C303" s="1" t="s">
        <v>15</v>
      </c>
      <c r="D303" s="1" t="s">
        <v>27</v>
      </c>
      <c r="E303" s="1" t="s">
        <v>55</v>
      </c>
      <c r="F303" s="1" t="n">
        <v>616.92</v>
      </c>
      <c r="G303" s="1" t="n">
        <v>8</v>
      </c>
      <c r="H303" s="1" t="n">
        <v>-101.76</v>
      </c>
    </row>
    <row r="304" customFormat="false" ht="15" hidden="false" customHeight="true" outlineLevel="0" collapsed="false">
      <c r="A304" s="1" t="s">
        <v>335</v>
      </c>
      <c r="B304" s="9" t="n">
        <v>45250</v>
      </c>
      <c r="C304" s="1" t="s">
        <v>34</v>
      </c>
      <c r="D304" s="1" t="s">
        <v>27</v>
      </c>
      <c r="E304" s="1" t="s">
        <v>28</v>
      </c>
      <c r="F304" s="1" t="n">
        <v>1665.57</v>
      </c>
      <c r="G304" s="1" t="n">
        <v>6</v>
      </c>
      <c r="H304" s="1" t="n">
        <v>-208.82</v>
      </c>
    </row>
    <row r="305" customFormat="false" ht="15" hidden="false" customHeight="true" outlineLevel="0" collapsed="false">
      <c r="A305" s="1" t="s">
        <v>336</v>
      </c>
      <c r="B305" s="9" t="n">
        <v>45252</v>
      </c>
      <c r="C305" s="1" t="s">
        <v>15</v>
      </c>
      <c r="D305" s="1" t="s">
        <v>22</v>
      </c>
      <c r="E305" s="1" t="s">
        <v>32</v>
      </c>
      <c r="F305" s="1" t="n">
        <v>955.74</v>
      </c>
      <c r="G305" s="1" t="n">
        <v>1</v>
      </c>
      <c r="H305" s="1" t="n">
        <v>387.48</v>
      </c>
    </row>
    <row r="306" customFormat="false" ht="15" hidden="false" customHeight="true" outlineLevel="0" collapsed="false">
      <c r="A306" s="1" t="s">
        <v>337</v>
      </c>
      <c r="B306" s="9" t="n">
        <v>45253</v>
      </c>
      <c r="C306" s="1" t="s">
        <v>19</v>
      </c>
      <c r="D306" s="1" t="s">
        <v>22</v>
      </c>
      <c r="E306" s="1" t="s">
        <v>23</v>
      </c>
      <c r="F306" s="1" t="n">
        <v>336.4</v>
      </c>
      <c r="G306" s="1" t="n">
        <v>2</v>
      </c>
      <c r="H306" s="1" t="n">
        <v>-17.28</v>
      </c>
    </row>
    <row r="307" customFormat="false" ht="15" hidden="false" customHeight="true" outlineLevel="0" collapsed="false">
      <c r="A307" s="1" t="s">
        <v>338</v>
      </c>
      <c r="B307" s="9" t="n">
        <v>45256</v>
      </c>
      <c r="C307" s="1" t="s">
        <v>34</v>
      </c>
      <c r="D307" s="1" t="s">
        <v>16</v>
      </c>
      <c r="E307" s="1" t="s">
        <v>71</v>
      </c>
      <c r="F307" s="1" t="n">
        <v>1491.19</v>
      </c>
      <c r="G307" s="1" t="n">
        <v>1</v>
      </c>
      <c r="H307" s="1" t="n">
        <v>558.62</v>
      </c>
    </row>
    <row r="308" customFormat="false" ht="15" hidden="false" customHeight="true" outlineLevel="0" collapsed="false">
      <c r="A308" s="1" t="s">
        <v>339</v>
      </c>
      <c r="B308" s="9" t="n">
        <v>45258</v>
      </c>
      <c r="C308" s="1" t="s">
        <v>34</v>
      </c>
      <c r="D308" s="1" t="s">
        <v>27</v>
      </c>
      <c r="E308" s="1" t="s">
        <v>39</v>
      </c>
      <c r="F308" s="1" t="n">
        <v>1016.79</v>
      </c>
      <c r="G308" s="1" t="n">
        <v>8</v>
      </c>
      <c r="H308" s="1" t="n">
        <v>87.36</v>
      </c>
    </row>
    <row r="309" customFormat="false" ht="15" hidden="false" customHeight="true" outlineLevel="0" collapsed="false">
      <c r="A309" s="1" t="s">
        <v>340</v>
      </c>
      <c r="B309" s="9" t="n">
        <v>45260</v>
      </c>
      <c r="C309" s="1" t="s">
        <v>15</v>
      </c>
      <c r="D309" s="1" t="s">
        <v>22</v>
      </c>
      <c r="E309" s="1" t="s">
        <v>32</v>
      </c>
      <c r="F309" s="1" t="n">
        <v>387.26</v>
      </c>
      <c r="G309" s="1" t="n">
        <v>2</v>
      </c>
      <c r="H309" s="1" t="n">
        <v>173.65</v>
      </c>
    </row>
    <row r="310" customFormat="false" ht="15" hidden="false" customHeight="true" outlineLevel="0" collapsed="false">
      <c r="A310" s="1" t="s">
        <v>341</v>
      </c>
      <c r="B310" s="9" t="n">
        <v>45265</v>
      </c>
      <c r="C310" s="1" t="s">
        <v>41</v>
      </c>
      <c r="D310" s="1" t="s">
        <v>16</v>
      </c>
      <c r="E310" s="1" t="s">
        <v>17</v>
      </c>
      <c r="F310" s="1" t="n">
        <v>2337.84</v>
      </c>
      <c r="G310" s="1" t="n">
        <v>5</v>
      </c>
      <c r="H310" s="1" t="n">
        <v>460.06</v>
      </c>
    </row>
    <row r="311" customFormat="false" ht="15" hidden="false" customHeight="true" outlineLevel="0" collapsed="false">
      <c r="A311" s="1" t="s">
        <v>342</v>
      </c>
      <c r="B311" s="9" t="n">
        <v>45270</v>
      </c>
      <c r="C311" s="1" t="s">
        <v>41</v>
      </c>
      <c r="D311" s="1" t="s">
        <v>22</v>
      </c>
      <c r="E311" s="1" t="s">
        <v>30</v>
      </c>
      <c r="F311" s="1" t="n">
        <v>2058.82</v>
      </c>
      <c r="G311" s="1" t="n">
        <v>8</v>
      </c>
      <c r="H311" s="1" t="n">
        <v>33.55</v>
      </c>
    </row>
    <row r="312" customFormat="false" ht="15" hidden="false" customHeight="true" outlineLevel="0" collapsed="false">
      <c r="A312" s="1" t="s">
        <v>343</v>
      </c>
      <c r="B312" s="9" t="n">
        <v>45271</v>
      </c>
      <c r="C312" s="1" t="s">
        <v>15</v>
      </c>
      <c r="D312" s="1" t="s">
        <v>27</v>
      </c>
      <c r="E312" s="1" t="s">
        <v>39</v>
      </c>
      <c r="F312" s="1" t="n">
        <v>1472.81</v>
      </c>
      <c r="G312" s="1" t="n">
        <v>3</v>
      </c>
      <c r="H312" s="1" t="n">
        <v>236.44</v>
      </c>
    </row>
    <row r="313" customFormat="false" ht="15" hidden="false" customHeight="true" outlineLevel="0" collapsed="false">
      <c r="A313" s="1" t="s">
        <v>344</v>
      </c>
      <c r="B313" s="9" t="n">
        <v>45271</v>
      </c>
      <c r="C313" s="1" t="s">
        <v>34</v>
      </c>
      <c r="D313" s="1" t="s">
        <v>27</v>
      </c>
      <c r="E313" s="1" t="s">
        <v>28</v>
      </c>
      <c r="F313" s="1" t="n">
        <v>21.29</v>
      </c>
      <c r="G313" s="1" t="n">
        <v>9</v>
      </c>
      <c r="H313" s="1" t="n">
        <v>-0.07</v>
      </c>
    </row>
    <row r="314" customFormat="false" ht="15" hidden="false" customHeight="true" outlineLevel="0" collapsed="false">
      <c r="A314" s="1" t="s">
        <v>345</v>
      </c>
      <c r="B314" s="9" t="n">
        <v>45274</v>
      </c>
      <c r="C314" s="1" t="s">
        <v>15</v>
      </c>
      <c r="D314" s="1" t="s">
        <v>22</v>
      </c>
      <c r="E314" s="1" t="s">
        <v>25</v>
      </c>
      <c r="F314" s="1" t="n">
        <v>1265.34</v>
      </c>
      <c r="G314" s="1" t="n">
        <v>7</v>
      </c>
      <c r="H314" s="1" t="n">
        <v>-193.33</v>
      </c>
    </row>
    <row r="315" customFormat="false" ht="15" hidden="false" customHeight="true" outlineLevel="0" collapsed="false">
      <c r="A315" s="1" t="s">
        <v>346</v>
      </c>
      <c r="B315" s="9" t="n">
        <v>45276</v>
      </c>
      <c r="C315" s="1" t="s">
        <v>41</v>
      </c>
      <c r="D315" s="1" t="s">
        <v>16</v>
      </c>
      <c r="E315" s="1" t="s">
        <v>20</v>
      </c>
      <c r="F315" s="1" t="n">
        <v>647.58</v>
      </c>
      <c r="G315" s="1" t="n">
        <v>2</v>
      </c>
      <c r="H315" s="1" t="n">
        <v>192.21</v>
      </c>
    </row>
    <row r="316" customFormat="false" ht="15" hidden="false" customHeight="true" outlineLevel="0" collapsed="false">
      <c r="A316" s="1" t="s">
        <v>347</v>
      </c>
      <c r="B316" s="9" t="n">
        <v>45279</v>
      </c>
      <c r="C316" s="1" t="s">
        <v>15</v>
      </c>
      <c r="D316" s="1" t="s">
        <v>27</v>
      </c>
      <c r="E316" s="1" t="s">
        <v>45</v>
      </c>
      <c r="F316" s="1" t="n">
        <v>2378.3</v>
      </c>
      <c r="G316" s="1" t="n">
        <v>2</v>
      </c>
      <c r="H316" s="1" t="n">
        <v>366.22</v>
      </c>
    </row>
    <row r="317" customFormat="false" ht="15" hidden="false" customHeight="true" outlineLevel="0" collapsed="false">
      <c r="A317" s="1" t="s">
        <v>348</v>
      </c>
      <c r="B317" s="9" t="n">
        <v>45281</v>
      </c>
      <c r="C317" s="1" t="s">
        <v>41</v>
      </c>
      <c r="D317" s="1" t="s">
        <v>22</v>
      </c>
      <c r="E317" s="1" t="s">
        <v>23</v>
      </c>
      <c r="F317" s="1" t="n">
        <v>1611.81</v>
      </c>
      <c r="G317" s="1" t="n">
        <v>5</v>
      </c>
      <c r="H317" s="1" t="n">
        <v>240.89</v>
      </c>
    </row>
    <row r="318" customFormat="false" ht="15" hidden="false" customHeight="true" outlineLevel="0" collapsed="false">
      <c r="A318" s="1" t="s">
        <v>349</v>
      </c>
      <c r="B318" s="9" t="n">
        <v>45290</v>
      </c>
      <c r="C318" s="1" t="s">
        <v>19</v>
      </c>
      <c r="D318" s="1" t="s">
        <v>27</v>
      </c>
      <c r="E318" s="1" t="s">
        <v>39</v>
      </c>
      <c r="F318" s="1" t="n">
        <v>1345.13</v>
      </c>
      <c r="G318" s="1" t="n">
        <v>3</v>
      </c>
      <c r="H318" s="1" t="n">
        <v>131.28</v>
      </c>
    </row>
    <row r="319" customFormat="false" ht="15" hidden="false" customHeight="true" outlineLevel="0" collapsed="false">
      <c r="A319" s="1" t="s">
        <v>350</v>
      </c>
      <c r="B319" s="9" t="n">
        <v>45292</v>
      </c>
      <c r="C319" s="1" t="s">
        <v>34</v>
      </c>
      <c r="D319" s="1" t="s">
        <v>27</v>
      </c>
      <c r="E319" s="1" t="s">
        <v>55</v>
      </c>
      <c r="F319" s="1" t="n">
        <v>450.91</v>
      </c>
      <c r="G319" s="1" t="n">
        <v>1</v>
      </c>
      <c r="H319" s="1" t="n">
        <v>130.58</v>
      </c>
    </row>
    <row r="320" customFormat="false" ht="15" hidden="false" customHeight="true" outlineLevel="0" collapsed="false">
      <c r="A320" s="1" t="s">
        <v>351</v>
      </c>
      <c r="B320" s="9" t="n">
        <v>45292</v>
      </c>
      <c r="C320" s="1" t="s">
        <v>34</v>
      </c>
      <c r="D320" s="1" t="s">
        <v>27</v>
      </c>
      <c r="E320" s="1" t="s">
        <v>39</v>
      </c>
      <c r="F320" s="1" t="n">
        <v>673.94</v>
      </c>
      <c r="G320" s="1" t="n">
        <v>2</v>
      </c>
      <c r="H320" s="1" t="n">
        <v>-42.76</v>
      </c>
    </row>
    <row r="321" customFormat="false" ht="15" hidden="false" customHeight="true" outlineLevel="0" collapsed="false">
      <c r="A321" s="1" t="s">
        <v>352</v>
      </c>
      <c r="B321" s="9" t="n">
        <v>45294</v>
      </c>
      <c r="C321" s="1" t="s">
        <v>41</v>
      </c>
      <c r="D321" s="1" t="s">
        <v>22</v>
      </c>
      <c r="E321" s="1" t="s">
        <v>30</v>
      </c>
      <c r="F321" s="1" t="n">
        <v>2489.91</v>
      </c>
      <c r="G321" s="1" t="n">
        <v>2</v>
      </c>
      <c r="H321" s="1" t="n">
        <v>-525.1</v>
      </c>
    </row>
    <row r="322" customFormat="false" ht="15" hidden="false" customHeight="true" outlineLevel="0" collapsed="false">
      <c r="A322" s="1" t="s">
        <v>353</v>
      </c>
      <c r="B322" s="9" t="n">
        <v>45297</v>
      </c>
      <c r="C322" s="1" t="s">
        <v>15</v>
      </c>
      <c r="D322" s="1" t="s">
        <v>27</v>
      </c>
      <c r="E322" s="1" t="s">
        <v>28</v>
      </c>
      <c r="F322" s="1" t="n">
        <v>768.75</v>
      </c>
      <c r="G322" s="1" t="n">
        <v>5</v>
      </c>
      <c r="H322" s="1" t="n">
        <v>217.37</v>
      </c>
    </row>
    <row r="323" customFormat="false" ht="15" hidden="false" customHeight="true" outlineLevel="0" collapsed="false">
      <c r="A323" s="1" t="s">
        <v>354</v>
      </c>
      <c r="B323" s="9" t="n">
        <v>45310</v>
      </c>
      <c r="C323" s="1" t="s">
        <v>34</v>
      </c>
      <c r="D323" s="1" t="s">
        <v>22</v>
      </c>
      <c r="E323" s="1" t="s">
        <v>32</v>
      </c>
      <c r="F323" s="1" t="n">
        <v>1563.85</v>
      </c>
      <c r="G323" s="1" t="n">
        <v>8</v>
      </c>
      <c r="H323" s="1" t="n">
        <v>123.26</v>
      </c>
    </row>
    <row r="324" customFormat="false" ht="15" hidden="false" customHeight="true" outlineLevel="0" collapsed="false">
      <c r="A324" s="1" t="s">
        <v>355</v>
      </c>
      <c r="B324" s="9" t="n">
        <v>45311</v>
      </c>
      <c r="C324" s="1" t="s">
        <v>34</v>
      </c>
      <c r="D324" s="1" t="s">
        <v>22</v>
      </c>
      <c r="E324" s="1" t="s">
        <v>32</v>
      </c>
      <c r="F324" s="1" t="n">
        <v>2182.02</v>
      </c>
      <c r="G324" s="1" t="n">
        <v>8</v>
      </c>
      <c r="H324" s="1" t="n">
        <v>-210.67</v>
      </c>
    </row>
    <row r="325" customFormat="false" ht="15" hidden="false" customHeight="true" outlineLevel="0" collapsed="false">
      <c r="A325" s="1" t="s">
        <v>356</v>
      </c>
      <c r="B325" s="9" t="n">
        <v>45311</v>
      </c>
      <c r="C325" s="1" t="s">
        <v>19</v>
      </c>
      <c r="D325" s="1" t="s">
        <v>22</v>
      </c>
      <c r="E325" s="1" t="s">
        <v>30</v>
      </c>
      <c r="F325" s="1" t="n">
        <v>931.94</v>
      </c>
      <c r="G325" s="1" t="n">
        <v>6</v>
      </c>
      <c r="H325" s="1" t="n">
        <v>-59.98</v>
      </c>
    </row>
    <row r="326" customFormat="false" ht="15" hidden="false" customHeight="true" outlineLevel="0" collapsed="false">
      <c r="A326" s="1" t="s">
        <v>357</v>
      </c>
      <c r="B326" s="9" t="n">
        <v>45315</v>
      </c>
      <c r="C326" s="1" t="s">
        <v>19</v>
      </c>
      <c r="D326" s="1" t="s">
        <v>27</v>
      </c>
      <c r="E326" s="1" t="s">
        <v>39</v>
      </c>
      <c r="F326" s="1" t="n">
        <v>1156.42</v>
      </c>
      <c r="G326" s="1" t="n">
        <v>6</v>
      </c>
      <c r="H326" s="1" t="n">
        <v>343.39</v>
      </c>
    </row>
    <row r="327" customFormat="false" ht="15" hidden="false" customHeight="true" outlineLevel="0" collapsed="false">
      <c r="A327" s="1" t="s">
        <v>358</v>
      </c>
      <c r="B327" s="9" t="n">
        <v>45315</v>
      </c>
      <c r="C327" s="1" t="s">
        <v>34</v>
      </c>
      <c r="D327" s="1" t="s">
        <v>22</v>
      </c>
      <c r="E327" s="1" t="s">
        <v>23</v>
      </c>
      <c r="F327" s="1" t="n">
        <v>2061.44</v>
      </c>
      <c r="G327" s="1" t="n">
        <v>8</v>
      </c>
      <c r="H327" s="1" t="n">
        <v>767.31</v>
      </c>
    </row>
    <row r="328" customFormat="false" ht="15" hidden="false" customHeight="true" outlineLevel="0" collapsed="false">
      <c r="A328" s="1" t="s">
        <v>359</v>
      </c>
      <c r="B328" s="9" t="n">
        <v>45316</v>
      </c>
      <c r="C328" s="1" t="s">
        <v>41</v>
      </c>
      <c r="D328" s="1" t="s">
        <v>16</v>
      </c>
      <c r="E328" s="1" t="s">
        <v>20</v>
      </c>
      <c r="F328" s="1" t="n">
        <v>1986.53</v>
      </c>
      <c r="G328" s="1" t="n">
        <v>6</v>
      </c>
      <c r="H328" s="1" t="n">
        <v>414.2</v>
      </c>
    </row>
    <row r="329" customFormat="false" ht="15" hidden="false" customHeight="true" outlineLevel="0" collapsed="false">
      <c r="A329" s="1" t="s">
        <v>360</v>
      </c>
      <c r="B329" s="9" t="n">
        <v>45316</v>
      </c>
      <c r="C329" s="1" t="s">
        <v>41</v>
      </c>
      <c r="D329" s="1" t="s">
        <v>22</v>
      </c>
      <c r="E329" s="1" t="s">
        <v>23</v>
      </c>
      <c r="F329" s="1" t="n">
        <v>2437.49</v>
      </c>
      <c r="G329" s="1" t="n">
        <v>6</v>
      </c>
      <c r="H329" s="1" t="n">
        <v>500.24</v>
      </c>
    </row>
    <row r="330" customFormat="false" ht="15" hidden="false" customHeight="true" outlineLevel="0" collapsed="false">
      <c r="A330" s="1" t="s">
        <v>361</v>
      </c>
      <c r="B330" s="9" t="n">
        <v>45323</v>
      </c>
      <c r="C330" s="1" t="s">
        <v>41</v>
      </c>
      <c r="D330" s="1" t="s">
        <v>22</v>
      </c>
      <c r="E330" s="1" t="s">
        <v>32</v>
      </c>
      <c r="F330" s="1" t="n">
        <v>1841.75</v>
      </c>
      <c r="G330" s="1" t="n">
        <v>5</v>
      </c>
      <c r="H330" s="1" t="n">
        <v>-73.04</v>
      </c>
    </row>
    <row r="331" customFormat="false" ht="15" hidden="false" customHeight="true" outlineLevel="0" collapsed="false">
      <c r="A331" s="1" t="s">
        <v>362</v>
      </c>
      <c r="B331" s="9" t="n">
        <v>45323</v>
      </c>
      <c r="C331" s="1" t="s">
        <v>15</v>
      </c>
      <c r="D331" s="1" t="s">
        <v>27</v>
      </c>
      <c r="E331" s="1" t="s">
        <v>39</v>
      </c>
      <c r="F331" s="1" t="n">
        <v>2087.45</v>
      </c>
      <c r="G331" s="1" t="n">
        <v>5</v>
      </c>
      <c r="H331" s="1" t="n">
        <v>121.72</v>
      </c>
    </row>
    <row r="332" customFormat="false" ht="15" hidden="false" customHeight="true" outlineLevel="0" collapsed="false">
      <c r="A332" s="1" t="s">
        <v>363</v>
      </c>
      <c r="B332" s="9" t="n">
        <v>45324</v>
      </c>
      <c r="C332" s="1" t="s">
        <v>41</v>
      </c>
      <c r="D332" s="1" t="s">
        <v>16</v>
      </c>
      <c r="E332" s="1" t="s">
        <v>17</v>
      </c>
      <c r="F332" s="1" t="n">
        <v>1696.61</v>
      </c>
      <c r="G332" s="1" t="n">
        <v>4</v>
      </c>
      <c r="H332" s="1" t="n">
        <v>105.48</v>
      </c>
    </row>
    <row r="333" customFormat="false" ht="15" hidden="false" customHeight="true" outlineLevel="0" collapsed="false">
      <c r="A333" s="1" t="s">
        <v>364</v>
      </c>
      <c r="B333" s="9" t="n">
        <v>45327</v>
      </c>
      <c r="C333" s="1" t="s">
        <v>34</v>
      </c>
      <c r="D333" s="1" t="s">
        <v>27</v>
      </c>
      <c r="E333" s="1" t="s">
        <v>55</v>
      </c>
      <c r="F333" s="1" t="n">
        <v>579.09</v>
      </c>
      <c r="G333" s="1" t="n">
        <v>2</v>
      </c>
      <c r="H333" s="1" t="n">
        <v>140.17</v>
      </c>
    </row>
    <row r="334" customFormat="false" ht="15" hidden="false" customHeight="true" outlineLevel="0" collapsed="false">
      <c r="A334" s="1" t="s">
        <v>365</v>
      </c>
      <c r="B334" s="9" t="n">
        <v>45328</v>
      </c>
      <c r="C334" s="1" t="s">
        <v>19</v>
      </c>
      <c r="D334" s="1" t="s">
        <v>16</v>
      </c>
      <c r="E334" s="1" t="s">
        <v>58</v>
      </c>
      <c r="F334" s="1" t="n">
        <v>1906.75</v>
      </c>
      <c r="G334" s="1" t="n">
        <v>7</v>
      </c>
      <c r="H334" s="1" t="n">
        <v>272.46</v>
      </c>
    </row>
    <row r="335" customFormat="false" ht="15" hidden="false" customHeight="true" outlineLevel="0" collapsed="false">
      <c r="A335" s="1" t="s">
        <v>366</v>
      </c>
      <c r="B335" s="9" t="n">
        <v>45329</v>
      </c>
      <c r="C335" s="1" t="s">
        <v>15</v>
      </c>
      <c r="D335" s="1" t="s">
        <v>22</v>
      </c>
      <c r="E335" s="1" t="s">
        <v>25</v>
      </c>
      <c r="F335" s="1" t="n">
        <v>1076.69</v>
      </c>
      <c r="G335" s="1" t="n">
        <v>3</v>
      </c>
      <c r="H335" s="1" t="n">
        <v>-170.66</v>
      </c>
    </row>
    <row r="336" customFormat="false" ht="15" hidden="false" customHeight="true" outlineLevel="0" collapsed="false">
      <c r="A336" s="1" t="s">
        <v>367</v>
      </c>
      <c r="B336" s="9" t="n">
        <v>45331</v>
      </c>
      <c r="C336" s="1" t="s">
        <v>19</v>
      </c>
      <c r="D336" s="1" t="s">
        <v>27</v>
      </c>
      <c r="E336" s="1" t="s">
        <v>28</v>
      </c>
      <c r="F336" s="1" t="n">
        <v>819.09</v>
      </c>
      <c r="G336" s="1" t="n">
        <v>5</v>
      </c>
      <c r="H336" s="1" t="n">
        <v>-132.97</v>
      </c>
    </row>
    <row r="337" customFormat="false" ht="15" hidden="false" customHeight="true" outlineLevel="0" collapsed="false">
      <c r="A337" s="1" t="s">
        <v>368</v>
      </c>
      <c r="B337" s="9" t="n">
        <v>45332</v>
      </c>
      <c r="C337" s="1" t="s">
        <v>15</v>
      </c>
      <c r="D337" s="1" t="s">
        <v>27</v>
      </c>
      <c r="E337" s="1" t="s">
        <v>45</v>
      </c>
      <c r="F337" s="1" t="n">
        <v>2164.51</v>
      </c>
      <c r="G337" s="1" t="n">
        <v>7</v>
      </c>
      <c r="H337" s="1" t="n">
        <v>690.55</v>
      </c>
    </row>
    <row r="338" customFormat="false" ht="15" hidden="false" customHeight="true" outlineLevel="0" collapsed="false">
      <c r="A338" s="1" t="s">
        <v>369</v>
      </c>
      <c r="B338" s="9" t="n">
        <v>45334</v>
      </c>
      <c r="C338" s="1" t="s">
        <v>19</v>
      </c>
      <c r="D338" s="1" t="s">
        <v>22</v>
      </c>
      <c r="E338" s="1" t="s">
        <v>23</v>
      </c>
      <c r="F338" s="1" t="n">
        <v>900.01</v>
      </c>
      <c r="G338" s="1" t="n">
        <v>6</v>
      </c>
      <c r="H338" s="1" t="n">
        <v>34.64</v>
      </c>
    </row>
    <row r="339" customFormat="false" ht="15" hidden="false" customHeight="true" outlineLevel="0" collapsed="false">
      <c r="A339" s="1" t="s">
        <v>370</v>
      </c>
      <c r="B339" s="9" t="n">
        <v>45337</v>
      </c>
      <c r="C339" s="1" t="s">
        <v>15</v>
      </c>
      <c r="D339" s="1" t="s">
        <v>27</v>
      </c>
      <c r="E339" s="1" t="s">
        <v>28</v>
      </c>
      <c r="F339" s="1" t="n">
        <v>1713.86</v>
      </c>
      <c r="G339" s="1" t="n">
        <v>2</v>
      </c>
      <c r="H339" s="1" t="n">
        <v>-343.06</v>
      </c>
    </row>
    <row r="340" customFormat="false" ht="15" hidden="false" customHeight="true" outlineLevel="0" collapsed="false">
      <c r="A340" s="1" t="s">
        <v>371</v>
      </c>
      <c r="B340" s="9" t="n">
        <v>45338</v>
      </c>
      <c r="C340" s="1" t="s">
        <v>19</v>
      </c>
      <c r="D340" s="1" t="s">
        <v>27</v>
      </c>
      <c r="E340" s="1" t="s">
        <v>55</v>
      </c>
      <c r="F340" s="1" t="n">
        <v>2356.66</v>
      </c>
      <c r="G340" s="1" t="n">
        <v>5</v>
      </c>
      <c r="H340" s="1" t="n">
        <v>340.07</v>
      </c>
    </row>
    <row r="341" customFormat="false" ht="15" hidden="false" customHeight="true" outlineLevel="0" collapsed="false">
      <c r="A341" s="1" t="s">
        <v>372</v>
      </c>
      <c r="B341" s="9" t="n">
        <v>45338</v>
      </c>
      <c r="C341" s="1" t="s">
        <v>41</v>
      </c>
      <c r="D341" s="1" t="s">
        <v>16</v>
      </c>
      <c r="E341" s="1" t="s">
        <v>71</v>
      </c>
      <c r="F341" s="1" t="n">
        <v>364.29</v>
      </c>
      <c r="G341" s="1" t="n">
        <v>8</v>
      </c>
      <c r="H341" s="1" t="n">
        <v>-90.38</v>
      </c>
    </row>
    <row r="342" customFormat="false" ht="15" hidden="false" customHeight="true" outlineLevel="0" collapsed="false">
      <c r="A342" s="1" t="s">
        <v>373</v>
      </c>
      <c r="B342" s="9" t="n">
        <v>45339</v>
      </c>
      <c r="C342" s="1" t="s">
        <v>15</v>
      </c>
      <c r="D342" s="1" t="s">
        <v>22</v>
      </c>
      <c r="E342" s="1" t="s">
        <v>30</v>
      </c>
      <c r="F342" s="1" t="n">
        <v>978.42</v>
      </c>
      <c r="G342" s="1" t="n">
        <v>2</v>
      </c>
      <c r="H342" s="1" t="n">
        <v>141.98</v>
      </c>
    </row>
    <row r="343" customFormat="false" ht="15" hidden="false" customHeight="true" outlineLevel="0" collapsed="false">
      <c r="A343" s="1" t="s">
        <v>374</v>
      </c>
      <c r="B343" s="9" t="n">
        <v>45340</v>
      </c>
      <c r="C343" s="1" t="s">
        <v>41</v>
      </c>
      <c r="D343" s="1" t="s">
        <v>22</v>
      </c>
      <c r="E343" s="1" t="s">
        <v>32</v>
      </c>
      <c r="F343" s="1" t="n">
        <v>278.53</v>
      </c>
      <c r="G343" s="1" t="n">
        <v>1</v>
      </c>
      <c r="H343" s="1" t="n">
        <v>94.23</v>
      </c>
    </row>
    <row r="344" customFormat="false" ht="15" hidden="false" customHeight="true" outlineLevel="0" collapsed="false">
      <c r="A344" s="1" t="s">
        <v>375</v>
      </c>
      <c r="B344" s="9" t="n">
        <v>45340</v>
      </c>
      <c r="C344" s="1" t="s">
        <v>19</v>
      </c>
      <c r="D344" s="1" t="s">
        <v>16</v>
      </c>
      <c r="E344" s="1" t="s">
        <v>58</v>
      </c>
      <c r="F344" s="1" t="n">
        <v>2188.07</v>
      </c>
      <c r="G344" s="1" t="n">
        <v>3</v>
      </c>
      <c r="H344" s="1" t="n">
        <v>208.92</v>
      </c>
    </row>
    <row r="345" customFormat="false" ht="15" hidden="false" customHeight="true" outlineLevel="0" collapsed="false">
      <c r="A345" s="1" t="s">
        <v>376</v>
      </c>
      <c r="B345" s="9" t="n">
        <v>45342</v>
      </c>
      <c r="C345" s="1" t="s">
        <v>34</v>
      </c>
      <c r="D345" s="1" t="s">
        <v>22</v>
      </c>
      <c r="E345" s="1" t="s">
        <v>23</v>
      </c>
      <c r="F345" s="1" t="n">
        <v>2245.64</v>
      </c>
      <c r="G345" s="1" t="n">
        <v>9</v>
      </c>
      <c r="H345" s="1" t="n">
        <v>167</v>
      </c>
    </row>
    <row r="346" customFormat="false" ht="15" hidden="false" customHeight="true" outlineLevel="0" collapsed="false">
      <c r="A346" s="1" t="s">
        <v>377</v>
      </c>
      <c r="B346" s="9" t="n">
        <v>45342</v>
      </c>
      <c r="C346" s="1" t="s">
        <v>15</v>
      </c>
      <c r="D346" s="1" t="s">
        <v>22</v>
      </c>
      <c r="E346" s="1" t="s">
        <v>32</v>
      </c>
      <c r="F346" s="1" t="n">
        <v>1381.47</v>
      </c>
      <c r="G346" s="1" t="n">
        <v>3</v>
      </c>
      <c r="H346" s="1" t="n">
        <v>-133.32</v>
      </c>
    </row>
    <row r="347" customFormat="false" ht="15" hidden="false" customHeight="true" outlineLevel="0" collapsed="false">
      <c r="A347" s="1" t="s">
        <v>378</v>
      </c>
      <c r="B347" s="9" t="n">
        <v>45348</v>
      </c>
      <c r="C347" s="1" t="s">
        <v>19</v>
      </c>
      <c r="D347" s="1" t="s">
        <v>16</v>
      </c>
      <c r="E347" s="1" t="s">
        <v>58</v>
      </c>
      <c r="F347" s="1" t="n">
        <v>508.94</v>
      </c>
      <c r="G347" s="1" t="n">
        <v>4</v>
      </c>
      <c r="H347" s="1" t="n">
        <v>43.48</v>
      </c>
    </row>
    <row r="348" customFormat="false" ht="15" hidden="false" customHeight="true" outlineLevel="0" collapsed="false">
      <c r="A348" s="1" t="s">
        <v>379</v>
      </c>
      <c r="B348" s="9" t="n">
        <v>45351</v>
      </c>
      <c r="C348" s="1" t="s">
        <v>15</v>
      </c>
      <c r="D348" s="1" t="s">
        <v>16</v>
      </c>
      <c r="E348" s="1" t="s">
        <v>17</v>
      </c>
      <c r="F348" s="1" t="n">
        <v>2123.14</v>
      </c>
      <c r="G348" s="1" t="n">
        <v>9</v>
      </c>
      <c r="H348" s="1" t="n">
        <v>552.45</v>
      </c>
    </row>
    <row r="349" customFormat="false" ht="15" hidden="false" customHeight="true" outlineLevel="0" collapsed="false">
      <c r="A349" s="1" t="s">
        <v>380</v>
      </c>
      <c r="B349" s="9" t="n">
        <v>45352</v>
      </c>
      <c r="C349" s="1" t="s">
        <v>41</v>
      </c>
      <c r="D349" s="1" t="s">
        <v>22</v>
      </c>
      <c r="E349" s="1" t="s">
        <v>30</v>
      </c>
      <c r="F349" s="1" t="n">
        <v>642.13</v>
      </c>
      <c r="G349" s="1" t="n">
        <v>9</v>
      </c>
      <c r="H349" s="1" t="n">
        <v>-77.68</v>
      </c>
    </row>
    <row r="350" customFormat="false" ht="15" hidden="false" customHeight="true" outlineLevel="0" collapsed="false">
      <c r="A350" s="1" t="s">
        <v>381</v>
      </c>
      <c r="B350" s="9" t="n">
        <v>45355</v>
      </c>
      <c r="C350" s="1" t="s">
        <v>15</v>
      </c>
      <c r="D350" s="1" t="s">
        <v>27</v>
      </c>
      <c r="E350" s="1" t="s">
        <v>45</v>
      </c>
      <c r="F350" s="1" t="n">
        <v>477.24</v>
      </c>
      <c r="G350" s="1" t="n">
        <v>5</v>
      </c>
      <c r="H350" s="1" t="n">
        <v>-89.13</v>
      </c>
    </row>
    <row r="351" customFormat="false" ht="15" hidden="false" customHeight="true" outlineLevel="0" collapsed="false">
      <c r="A351" s="1" t="s">
        <v>382</v>
      </c>
      <c r="B351" s="9" t="n">
        <v>45355</v>
      </c>
      <c r="C351" s="1" t="s">
        <v>15</v>
      </c>
      <c r="D351" s="1" t="s">
        <v>27</v>
      </c>
      <c r="E351" s="1" t="s">
        <v>39</v>
      </c>
      <c r="F351" s="1" t="n">
        <v>902.86</v>
      </c>
      <c r="G351" s="1" t="n">
        <v>9</v>
      </c>
      <c r="H351" s="1" t="n">
        <v>339.43</v>
      </c>
    </row>
    <row r="352" customFormat="false" ht="15" hidden="false" customHeight="true" outlineLevel="0" collapsed="false">
      <c r="A352" s="1" t="s">
        <v>383</v>
      </c>
      <c r="B352" s="9" t="n">
        <v>45358</v>
      </c>
      <c r="C352" s="1" t="s">
        <v>15</v>
      </c>
      <c r="D352" s="1" t="s">
        <v>16</v>
      </c>
      <c r="E352" s="1" t="s">
        <v>17</v>
      </c>
      <c r="F352" s="1" t="n">
        <v>2487.25</v>
      </c>
      <c r="G352" s="1" t="n">
        <v>4</v>
      </c>
      <c r="H352" s="1" t="n">
        <v>327.74</v>
      </c>
    </row>
    <row r="353" customFormat="false" ht="15" hidden="false" customHeight="true" outlineLevel="0" collapsed="false">
      <c r="A353" s="1" t="s">
        <v>384</v>
      </c>
      <c r="B353" s="9" t="n">
        <v>45359</v>
      </c>
      <c r="C353" s="1" t="s">
        <v>19</v>
      </c>
      <c r="D353" s="1" t="s">
        <v>16</v>
      </c>
      <c r="E353" s="1" t="s">
        <v>58</v>
      </c>
      <c r="F353" s="1" t="n">
        <v>2299.56</v>
      </c>
      <c r="G353" s="1" t="n">
        <v>5</v>
      </c>
      <c r="H353" s="1" t="n">
        <v>-441.69</v>
      </c>
    </row>
    <row r="354" customFormat="false" ht="15" hidden="false" customHeight="true" outlineLevel="0" collapsed="false">
      <c r="A354" s="1" t="s">
        <v>385</v>
      </c>
      <c r="B354" s="9" t="n">
        <v>45362</v>
      </c>
      <c r="C354" s="1" t="s">
        <v>19</v>
      </c>
      <c r="D354" s="1" t="s">
        <v>22</v>
      </c>
      <c r="E354" s="1" t="s">
        <v>23</v>
      </c>
      <c r="F354" s="1" t="n">
        <v>2486.25</v>
      </c>
      <c r="G354" s="1" t="n">
        <v>5</v>
      </c>
      <c r="H354" s="1" t="n">
        <v>-315.39</v>
      </c>
    </row>
    <row r="355" customFormat="false" ht="15" hidden="false" customHeight="true" outlineLevel="0" collapsed="false">
      <c r="A355" s="1" t="s">
        <v>386</v>
      </c>
      <c r="B355" s="9" t="n">
        <v>45363</v>
      </c>
      <c r="C355" s="1" t="s">
        <v>34</v>
      </c>
      <c r="D355" s="1" t="s">
        <v>22</v>
      </c>
      <c r="E355" s="1" t="s">
        <v>32</v>
      </c>
      <c r="F355" s="1" t="n">
        <v>449.77</v>
      </c>
      <c r="G355" s="1" t="n">
        <v>6</v>
      </c>
      <c r="H355" s="1" t="n">
        <v>-63.19</v>
      </c>
    </row>
    <row r="356" customFormat="false" ht="15" hidden="false" customHeight="true" outlineLevel="0" collapsed="false">
      <c r="A356" s="1" t="s">
        <v>387</v>
      </c>
      <c r="B356" s="9" t="n">
        <v>45367</v>
      </c>
      <c r="C356" s="1" t="s">
        <v>19</v>
      </c>
      <c r="D356" s="1" t="s">
        <v>16</v>
      </c>
      <c r="E356" s="1" t="s">
        <v>58</v>
      </c>
      <c r="F356" s="1" t="n">
        <v>358.2</v>
      </c>
      <c r="G356" s="1" t="n">
        <v>2</v>
      </c>
      <c r="H356" s="1" t="n">
        <v>-85.9</v>
      </c>
    </row>
    <row r="357" customFormat="false" ht="15" hidden="false" customHeight="true" outlineLevel="0" collapsed="false">
      <c r="A357" s="1" t="s">
        <v>388</v>
      </c>
      <c r="B357" s="9" t="n">
        <v>45367</v>
      </c>
      <c r="C357" s="1" t="s">
        <v>41</v>
      </c>
      <c r="D357" s="1" t="s">
        <v>27</v>
      </c>
      <c r="E357" s="1" t="s">
        <v>45</v>
      </c>
      <c r="F357" s="1" t="n">
        <v>2240.11</v>
      </c>
      <c r="G357" s="1" t="n">
        <v>3</v>
      </c>
      <c r="H357" s="1" t="n">
        <v>242.32</v>
      </c>
    </row>
    <row r="358" customFormat="false" ht="15" hidden="false" customHeight="true" outlineLevel="0" collapsed="false">
      <c r="A358" s="1" t="s">
        <v>389</v>
      </c>
      <c r="B358" s="9" t="n">
        <v>45368</v>
      </c>
      <c r="C358" s="1" t="s">
        <v>34</v>
      </c>
      <c r="D358" s="1" t="s">
        <v>16</v>
      </c>
      <c r="E358" s="1" t="s">
        <v>58</v>
      </c>
      <c r="F358" s="1" t="n">
        <v>902.07</v>
      </c>
      <c r="G358" s="1" t="n">
        <v>3</v>
      </c>
      <c r="H358" s="1" t="n">
        <v>228.52</v>
      </c>
    </row>
    <row r="359" customFormat="false" ht="15" hidden="false" customHeight="true" outlineLevel="0" collapsed="false">
      <c r="A359" s="1" t="s">
        <v>390</v>
      </c>
      <c r="B359" s="9" t="n">
        <v>45370</v>
      </c>
      <c r="C359" s="1" t="s">
        <v>19</v>
      </c>
      <c r="D359" s="1" t="s">
        <v>22</v>
      </c>
      <c r="E359" s="1" t="s">
        <v>32</v>
      </c>
      <c r="F359" s="1" t="n">
        <v>1954.93</v>
      </c>
      <c r="G359" s="1" t="n">
        <v>9</v>
      </c>
      <c r="H359" s="1" t="n">
        <v>-479.11</v>
      </c>
    </row>
    <row r="360" customFormat="false" ht="15" hidden="false" customHeight="true" outlineLevel="0" collapsed="false">
      <c r="A360" s="1" t="s">
        <v>391</v>
      </c>
      <c r="B360" s="9" t="n">
        <v>45371</v>
      </c>
      <c r="C360" s="1" t="s">
        <v>15</v>
      </c>
      <c r="D360" s="1" t="s">
        <v>16</v>
      </c>
      <c r="E360" s="1" t="s">
        <v>20</v>
      </c>
      <c r="F360" s="1" t="n">
        <v>687.04</v>
      </c>
      <c r="G360" s="1" t="n">
        <v>5</v>
      </c>
      <c r="H360" s="1" t="n">
        <v>56.88</v>
      </c>
    </row>
    <row r="361" customFormat="false" ht="15" hidden="false" customHeight="true" outlineLevel="0" collapsed="false">
      <c r="A361" s="1" t="s">
        <v>392</v>
      </c>
      <c r="B361" s="9" t="n">
        <v>45376</v>
      </c>
      <c r="C361" s="1" t="s">
        <v>15</v>
      </c>
      <c r="D361" s="1" t="s">
        <v>22</v>
      </c>
      <c r="E361" s="1" t="s">
        <v>25</v>
      </c>
      <c r="F361" s="1" t="n">
        <v>50.14</v>
      </c>
      <c r="G361" s="1" t="n">
        <v>6</v>
      </c>
      <c r="H361" s="1" t="n">
        <v>21.51</v>
      </c>
    </row>
    <row r="362" customFormat="false" ht="15" hidden="false" customHeight="true" outlineLevel="0" collapsed="false">
      <c r="A362" s="1" t="s">
        <v>393</v>
      </c>
      <c r="B362" s="9" t="n">
        <v>45377</v>
      </c>
      <c r="C362" s="1" t="s">
        <v>41</v>
      </c>
      <c r="D362" s="1" t="s">
        <v>22</v>
      </c>
      <c r="E362" s="1" t="s">
        <v>23</v>
      </c>
      <c r="F362" s="1" t="n">
        <v>2163.14</v>
      </c>
      <c r="G362" s="1" t="n">
        <v>4</v>
      </c>
      <c r="H362" s="1" t="n">
        <v>-192.24</v>
      </c>
    </row>
    <row r="363" customFormat="false" ht="15" hidden="false" customHeight="true" outlineLevel="0" collapsed="false">
      <c r="A363" s="1" t="s">
        <v>394</v>
      </c>
      <c r="B363" s="9" t="n">
        <v>45381</v>
      </c>
      <c r="C363" s="1" t="s">
        <v>15</v>
      </c>
      <c r="D363" s="1" t="s">
        <v>22</v>
      </c>
      <c r="E363" s="1" t="s">
        <v>30</v>
      </c>
      <c r="F363" s="1" t="n">
        <v>587.66</v>
      </c>
      <c r="G363" s="1" t="n">
        <v>4</v>
      </c>
      <c r="H363" s="1" t="n">
        <v>-51.21</v>
      </c>
    </row>
    <row r="364" customFormat="false" ht="15" hidden="false" customHeight="true" outlineLevel="0" collapsed="false">
      <c r="A364" s="1" t="s">
        <v>395</v>
      </c>
      <c r="B364" s="9" t="n">
        <v>45381</v>
      </c>
      <c r="C364" s="1" t="s">
        <v>15</v>
      </c>
      <c r="D364" s="1" t="s">
        <v>27</v>
      </c>
      <c r="E364" s="1" t="s">
        <v>28</v>
      </c>
      <c r="F364" s="1" t="n">
        <v>134.39</v>
      </c>
      <c r="G364" s="1" t="n">
        <v>5</v>
      </c>
      <c r="H364" s="1" t="n">
        <v>19.76</v>
      </c>
    </row>
    <row r="365" customFormat="false" ht="15" hidden="false" customHeight="true" outlineLevel="0" collapsed="false">
      <c r="A365" s="1" t="s">
        <v>396</v>
      </c>
      <c r="B365" s="9" t="n">
        <v>45381</v>
      </c>
      <c r="C365" s="1" t="s">
        <v>34</v>
      </c>
      <c r="D365" s="1" t="s">
        <v>27</v>
      </c>
      <c r="E365" s="1" t="s">
        <v>45</v>
      </c>
      <c r="F365" s="1" t="n">
        <v>1292</v>
      </c>
      <c r="G365" s="1" t="n">
        <v>6</v>
      </c>
      <c r="H365" s="1" t="n">
        <v>-238.28</v>
      </c>
    </row>
    <row r="366" customFormat="false" ht="15" hidden="false" customHeight="true" outlineLevel="0" collapsed="false">
      <c r="A366" s="1" t="s">
        <v>397</v>
      </c>
      <c r="B366" s="9" t="n">
        <v>45385</v>
      </c>
      <c r="C366" s="1" t="s">
        <v>15</v>
      </c>
      <c r="D366" s="1" t="s">
        <v>16</v>
      </c>
      <c r="E366" s="1" t="s">
        <v>58</v>
      </c>
      <c r="F366" s="1" t="n">
        <v>1466.75</v>
      </c>
      <c r="G366" s="1" t="n">
        <v>6</v>
      </c>
      <c r="H366" s="1" t="n">
        <v>621.2</v>
      </c>
    </row>
    <row r="367" customFormat="false" ht="15" hidden="false" customHeight="true" outlineLevel="0" collapsed="false">
      <c r="A367" s="1" t="s">
        <v>398</v>
      </c>
      <c r="B367" s="9" t="n">
        <v>45389</v>
      </c>
      <c r="C367" s="1" t="s">
        <v>15</v>
      </c>
      <c r="D367" s="1" t="s">
        <v>22</v>
      </c>
      <c r="E367" s="1" t="s">
        <v>23</v>
      </c>
      <c r="F367" s="1" t="n">
        <v>1532.38</v>
      </c>
      <c r="G367" s="1" t="n">
        <v>9</v>
      </c>
      <c r="H367" s="1" t="n">
        <v>221.29</v>
      </c>
    </row>
    <row r="368" customFormat="false" ht="15" hidden="false" customHeight="true" outlineLevel="0" collapsed="false">
      <c r="A368" s="1" t="s">
        <v>399</v>
      </c>
      <c r="B368" s="9" t="n">
        <v>45389</v>
      </c>
      <c r="C368" s="1" t="s">
        <v>19</v>
      </c>
      <c r="D368" s="1" t="s">
        <v>27</v>
      </c>
      <c r="E368" s="1" t="s">
        <v>39</v>
      </c>
      <c r="F368" s="1" t="n">
        <v>1550.55</v>
      </c>
      <c r="G368" s="1" t="n">
        <v>5</v>
      </c>
      <c r="H368" s="1" t="n">
        <v>92.55</v>
      </c>
    </row>
    <row r="369" customFormat="false" ht="15" hidden="false" customHeight="true" outlineLevel="0" collapsed="false">
      <c r="A369" s="1" t="s">
        <v>400</v>
      </c>
      <c r="B369" s="9" t="n">
        <v>45394</v>
      </c>
      <c r="C369" s="1" t="s">
        <v>19</v>
      </c>
      <c r="D369" s="1" t="s">
        <v>27</v>
      </c>
      <c r="E369" s="1" t="s">
        <v>28</v>
      </c>
      <c r="F369" s="1" t="n">
        <v>798.04</v>
      </c>
      <c r="G369" s="1" t="n">
        <v>6</v>
      </c>
      <c r="H369" s="1" t="n">
        <v>139.23</v>
      </c>
    </row>
    <row r="370" customFormat="false" ht="15" hidden="false" customHeight="true" outlineLevel="0" collapsed="false">
      <c r="A370" s="1" t="s">
        <v>401</v>
      </c>
      <c r="B370" s="9" t="n">
        <v>45394</v>
      </c>
      <c r="C370" s="1" t="s">
        <v>41</v>
      </c>
      <c r="D370" s="1" t="s">
        <v>27</v>
      </c>
      <c r="E370" s="1" t="s">
        <v>55</v>
      </c>
      <c r="F370" s="1" t="n">
        <v>1522.33</v>
      </c>
      <c r="G370" s="1" t="n">
        <v>4</v>
      </c>
      <c r="H370" s="1" t="n">
        <v>7.94</v>
      </c>
    </row>
    <row r="371" customFormat="false" ht="15" hidden="false" customHeight="true" outlineLevel="0" collapsed="false">
      <c r="A371" s="1" t="s">
        <v>402</v>
      </c>
      <c r="B371" s="9" t="n">
        <v>45396</v>
      </c>
      <c r="C371" s="1" t="s">
        <v>34</v>
      </c>
      <c r="D371" s="1" t="s">
        <v>22</v>
      </c>
      <c r="E371" s="1" t="s">
        <v>25</v>
      </c>
      <c r="F371" s="1" t="n">
        <v>2343.66</v>
      </c>
      <c r="G371" s="1" t="n">
        <v>7</v>
      </c>
      <c r="H371" s="1" t="n">
        <v>322.63</v>
      </c>
    </row>
    <row r="372" customFormat="false" ht="15" hidden="false" customHeight="true" outlineLevel="0" collapsed="false">
      <c r="A372" s="1" t="s">
        <v>403</v>
      </c>
      <c r="B372" s="9" t="n">
        <v>45397</v>
      </c>
      <c r="C372" s="1" t="s">
        <v>41</v>
      </c>
      <c r="D372" s="1" t="s">
        <v>22</v>
      </c>
      <c r="E372" s="1" t="s">
        <v>25</v>
      </c>
      <c r="F372" s="1" t="n">
        <v>2464.41</v>
      </c>
      <c r="G372" s="1" t="n">
        <v>8</v>
      </c>
      <c r="H372" s="1" t="n">
        <v>-198.54</v>
      </c>
    </row>
    <row r="373" customFormat="false" ht="15" hidden="false" customHeight="true" outlineLevel="0" collapsed="false">
      <c r="A373" s="1" t="s">
        <v>404</v>
      </c>
      <c r="B373" s="9" t="n">
        <v>45397</v>
      </c>
      <c r="C373" s="1" t="s">
        <v>41</v>
      </c>
      <c r="D373" s="1" t="s">
        <v>22</v>
      </c>
      <c r="E373" s="1" t="s">
        <v>23</v>
      </c>
      <c r="F373" s="1" t="n">
        <v>602.89</v>
      </c>
      <c r="G373" s="1" t="n">
        <v>1</v>
      </c>
      <c r="H373" s="1" t="n">
        <v>199.85</v>
      </c>
    </row>
    <row r="374" customFormat="false" ht="15" hidden="false" customHeight="true" outlineLevel="0" collapsed="false">
      <c r="A374" s="1" t="s">
        <v>405</v>
      </c>
      <c r="B374" s="9" t="n">
        <v>45397</v>
      </c>
      <c r="C374" s="1" t="s">
        <v>41</v>
      </c>
      <c r="D374" s="1" t="s">
        <v>22</v>
      </c>
      <c r="E374" s="1" t="s">
        <v>32</v>
      </c>
      <c r="F374" s="1" t="n">
        <v>1928.34</v>
      </c>
      <c r="G374" s="1" t="n">
        <v>4</v>
      </c>
      <c r="H374" s="1" t="n">
        <v>-229.61</v>
      </c>
    </row>
    <row r="375" customFormat="false" ht="15" hidden="false" customHeight="true" outlineLevel="0" collapsed="false">
      <c r="A375" s="1" t="s">
        <v>406</v>
      </c>
      <c r="B375" s="9" t="n">
        <v>45401</v>
      </c>
      <c r="C375" s="1" t="s">
        <v>41</v>
      </c>
      <c r="D375" s="1" t="s">
        <v>27</v>
      </c>
      <c r="E375" s="1" t="s">
        <v>39</v>
      </c>
      <c r="F375" s="1" t="n">
        <v>1109.09</v>
      </c>
      <c r="G375" s="1" t="n">
        <v>6</v>
      </c>
      <c r="H375" s="1" t="n">
        <v>380.28</v>
      </c>
    </row>
    <row r="376" customFormat="false" ht="15" hidden="false" customHeight="true" outlineLevel="0" collapsed="false">
      <c r="A376" s="1" t="s">
        <v>407</v>
      </c>
      <c r="B376" s="9" t="n">
        <v>45403</v>
      </c>
      <c r="C376" s="1" t="s">
        <v>15</v>
      </c>
      <c r="D376" s="1" t="s">
        <v>22</v>
      </c>
      <c r="E376" s="1" t="s">
        <v>25</v>
      </c>
      <c r="F376" s="1" t="n">
        <v>580.84</v>
      </c>
      <c r="G376" s="1" t="n">
        <v>5</v>
      </c>
      <c r="H376" s="1" t="n">
        <v>199.14</v>
      </c>
    </row>
    <row r="377" customFormat="false" ht="15" hidden="false" customHeight="true" outlineLevel="0" collapsed="false">
      <c r="A377" s="1" t="s">
        <v>408</v>
      </c>
      <c r="B377" s="9" t="n">
        <v>45406</v>
      </c>
      <c r="C377" s="1" t="s">
        <v>41</v>
      </c>
      <c r="D377" s="1" t="s">
        <v>16</v>
      </c>
      <c r="E377" s="1" t="s">
        <v>17</v>
      </c>
      <c r="F377" s="1" t="n">
        <v>597.25</v>
      </c>
      <c r="G377" s="1" t="n">
        <v>2</v>
      </c>
      <c r="H377" s="1" t="n">
        <v>188.24</v>
      </c>
    </row>
    <row r="378" customFormat="false" ht="15" hidden="false" customHeight="true" outlineLevel="0" collapsed="false">
      <c r="A378" s="1" t="s">
        <v>409</v>
      </c>
      <c r="B378" s="9" t="n">
        <v>45407</v>
      </c>
      <c r="C378" s="1" t="s">
        <v>34</v>
      </c>
      <c r="D378" s="1" t="s">
        <v>16</v>
      </c>
      <c r="E378" s="1" t="s">
        <v>58</v>
      </c>
      <c r="F378" s="1" t="n">
        <v>255.63</v>
      </c>
      <c r="G378" s="1" t="n">
        <v>9</v>
      </c>
      <c r="H378" s="1" t="n">
        <v>3.37</v>
      </c>
    </row>
    <row r="379" customFormat="false" ht="15" hidden="false" customHeight="true" outlineLevel="0" collapsed="false">
      <c r="A379" s="1" t="s">
        <v>410</v>
      </c>
      <c r="B379" s="9" t="n">
        <v>45408</v>
      </c>
      <c r="C379" s="1" t="s">
        <v>41</v>
      </c>
      <c r="D379" s="1" t="s">
        <v>22</v>
      </c>
      <c r="E379" s="1" t="s">
        <v>25</v>
      </c>
      <c r="F379" s="1" t="n">
        <v>1678.24</v>
      </c>
      <c r="G379" s="1" t="n">
        <v>8</v>
      </c>
      <c r="H379" s="1" t="n">
        <v>672.24</v>
      </c>
    </row>
    <row r="380" customFormat="false" ht="15" hidden="false" customHeight="true" outlineLevel="0" collapsed="false">
      <c r="A380" s="1" t="s">
        <v>411</v>
      </c>
      <c r="B380" s="9" t="n">
        <v>45410</v>
      </c>
      <c r="C380" s="1" t="s">
        <v>19</v>
      </c>
      <c r="D380" s="1" t="s">
        <v>16</v>
      </c>
      <c r="E380" s="1" t="s">
        <v>17</v>
      </c>
      <c r="F380" s="1" t="n">
        <v>1643.19</v>
      </c>
      <c r="G380" s="1" t="n">
        <v>8</v>
      </c>
      <c r="H380" s="1" t="n">
        <v>-96.49</v>
      </c>
    </row>
    <row r="381" customFormat="false" ht="15" hidden="false" customHeight="true" outlineLevel="0" collapsed="false">
      <c r="A381" s="1" t="s">
        <v>412</v>
      </c>
      <c r="B381" s="9" t="n">
        <v>45414</v>
      </c>
      <c r="C381" s="1" t="s">
        <v>19</v>
      </c>
      <c r="D381" s="1" t="s">
        <v>22</v>
      </c>
      <c r="E381" s="1" t="s">
        <v>30</v>
      </c>
      <c r="F381" s="1" t="n">
        <v>91.38</v>
      </c>
      <c r="G381" s="1" t="n">
        <v>2</v>
      </c>
      <c r="H381" s="1" t="n">
        <v>25.46</v>
      </c>
    </row>
    <row r="382" customFormat="false" ht="15" hidden="false" customHeight="true" outlineLevel="0" collapsed="false">
      <c r="A382" s="1" t="s">
        <v>413</v>
      </c>
      <c r="B382" s="9" t="n">
        <v>45415</v>
      </c>
      <c r="C382" s="1" t="s">
        <v>41</v>
      </c>
      <c r="D382" s="1" t="s">
        <v>22</v>
      </c>
      <c r="E382" s="1" t="s">
        <v>23</v>
      </c>
      <c r="F382" s="1" t="n">
        <v>1455.58</v>
      </c>
      <c r="G382" s="1" t="n">
        <v>9</v>
      </c>
      <c r="H382" s="1" t="n">
        <v>82.87</v>
      </c>
    </row>
    <row r="383" customFormat="false" ht="15" hidden="false" customHeight="true" outlineLevel="0" collapsed="false">
      <c r="A383" s="1" t="s">
        <v>414</v>
      </c>
      <c r="B383" s="9" t="n">
        <v>45417</v>
      </c>
      <c r="C383" s="1" t="s">
        <v>15</v>
      </c>
      <c r="D383" s="1" t="s">
        <v>22</v>
      </c>
      <c r="E383" s="1" t="s">
        <v>23</v>
      </c>
      <c r="F383" s="1" t="n">
        <v>664.31</v>
      </c>
      <c r="G383" s="1" t="n">
        <v>3</v>
      </c>
      <c r="H383" s="1" t="n">
        <v>128.75</v>
      </c>
    </row>
    <row r="384" customFormat="false" ht="15" hidden="false" customHeight="true" outlineLevel="0" collapsed="false">
      <c r="A384" s="1" t="s">
        <v>415</v>
      </c>
      <c r="B384" s="9" t="n">
        <v>45417</v>
      </c>
      <c r="C384" s="1" t="s">
        <v>15</v>
      </c>
      <c r="D384" s="1" t="s">
        <v>16</v>
      </c>
      <c r="E384" s="1" t="s">
        <v>71</v>
      </c>
      <c r="F384" s="1" t="n">
        <v>2045.37</v>
      </c>
      <c r="G384" s="1" t="n">
        <v>3</v>
      </c>
      <c r="H384" s="1" t="n">
        <v>-103.92</v>
      </c>
    </row>
    <row r="385" customFormat="false" ht="15" hidden="false" customHeight="true" outlineLevel="0" collapsed="false">
      <c r="A385" s="1" t="s">
        <v>416</v>
      </c>
      <c r="B385" s="9" t="n">
        <v>45418</v>
      </c>
      <c r="C385" s="1" t="s">
        <v>19</v>
      </c>
      <c r="D385" s="1" t="s">
        <v>22</v>
      </c>
      <c r="E385" s="1" t="s">
        <v>23</v>
      </c>
      <c r="F385" s="1" t="n">
        <v>2060.08</v>
      </c>
      <c r="G385" s="1" t="n">
        <v>3</v>
      </c>
      <c r="H385" s="1" t="n">
        <v>96.03</v>
      </c>
    </row>
    <row r="386" customFormat="false" ht="15" hidden="false" customHeight="true" outlineLevel="0" collapsed="false">
      <c r="A386" s="1" t="s">
        <v>417</v>
      </c>
      <c r="B386" s="9" t="n">
        <v>45424</v>
      </c>
      <c r="C386" s="1" t="s">
        <v>34</v>
      </c>
      <c r="D386" s="1" t="s">
        <v>27</v>
      </c>
      <c r="E386" s="1" t="s">
        <v>39</v>
      </c>
      <c r="F386" s="1" t="n">
        <v>1327.62</v>
      </c>
      <c r="G386" s="1" t="n">
        <v>1</v>
      </c>
      <c r="H386" s="1" t="n">
        <v>510.46</v>
      </c>
    </row>
    <row r="387" customFormat="false" ht="15" hidden="false" customHeight="true" outlineLevel="0" collapsed="false">
      <c r="A387" s="1" t="s">
        <v>418</v>
      </c>
      <c r="B387" s="9" t="n">
        <v>45425</v>
      </c>
      <c r="C387" s="1" t="s">
        <v>41</v>
      </c>
      <c r="D387" s="1" t="s">
        <v>27</v>
      </c>
      <c r="E387" s="1" t="s">
        <v>45</v>
      </c>
      <c r="F387" s="1" t="n">
        <v>1080.3</v>
      </c>
      <c r="G387" s="1" t="n">
        <v>1</v>
      </c>
      <c r="H387" s="1" t="n">
        <v>-250.85</v>
      </c>
    </row>
    <row r="388" customFormat="false" ht="15" hidden="false" customHeight="true" outlineLevel="0" collapsed="false">
      <c r="A388" s="1" t="s">
        <v>419</v>
      </c>
      <c r="B388" s="9" t="n">
        <v>45426</v>
      </c>
      <c r="C388" s="1" t="s">
        <v>19</v>
      </c>
      <c r="D388" s="1" t="s">
        <v>27</v>
      </c>
      <c r="E388" s="1" t="s">
        <v>55</v>
      </c>
      <c r="F388" s="1" t="n">
        <v>1433.33</v>
      </c>
      <c r="G388" s="1" t="n">
        <v>6</v>
      </c>
      <c r="H388" s="1" t="n">
        <v>406.67</v>
      </c>
    </row>
    <row r="389" customFormat="false" ht="15" hidden="false" customHeight="true" outlineLevel="0" collapsed="false">
      <c r="A389" s="1" t="s">
        <v>420</v>
      </c>
      <c r="B389" s="9" t="n">
        <v>45427</v>
      </c>
      <c r="C389" s="1" t="s">
        <v>34</v>
      </c>
      <c r="D389" s="1" t="s">
        <v>16</v>
      </c>
      <c r="E389" s="1" t="s">
        <v>17</v>
      </c>
      <c r="F389" s="1" t="n">
        <v>1478.38</v>
      </c>
      <c r="G389" s="1" t="n">
        <v>4</v>
      </c>
      <c r="H389" s="1" t="n">
        <v>-339.18</v>
      </c>
    </row>
    <row r="390" customFormat="false" ht="15" hidden="false" customHeight="true" outlineLevel="0" collapsed="false">
      <c r="A390" s="1" t="s">
        <v>421</v>
      </c>
      <c r="B390" s="9" t="n">
        <v>45427</v>
      </c>
      <c r="C390" s="1" t="s">
        <v>41</v>
      </c>
      <c r="D390" s="1" t="s">
        <v>22</v>
      </c>
      <c r="E390" s="1" t="s">
        <v>23</v>
      </c>
      <c r="F390" s="1" t="n">
        <v>2499.29</v>
      </c>
      <c r="G390" s="1" t="n">
        <v>4</v>
      </c>
      <c r="H390" s="1" t="n">
        <v>-361.48</v>
      </c>
    </row>
    <row r="391" customFormat="false" ht="15" hidden="false" customHeight="true" outlineLevel="0" collapsed="false">
      <c r="A391" s="1" t="s">
        <v>422</v>
      </c>
      <c r="B391" s="9" t="n">
        <v>45428</v>
      </c>
      <c r="C391" s="1" t="s">
        <v>34</v>
      </c>
      <c r="D391" s="1" t="s">
        <v>22</v>
      </c>
      <c r="E391" s="1" t="s">
        <v>23</v>
      </c>
      <c r="F391" s="1" t="n">
        <v>945.66</v>
      </c>
      <c r="G391" s="1" t="n">
        <v>2</v>
      </c>
      <c r="H391" s="1" t="n">
        <v>-85.97</v>
      </c>
    </row>
    <row r="392" customFormat="false" ht="15" hidden="false" customHeight="true" outlineLevel="0" collapsed="false">
      <c r="A392" s="1" t="s">
        <v>423</v>
      </c>
      <c r="B392" s="9" t="n">
        <v>45429</v>
      </c>
      <c r="C392" s="1" t="s">
        <v>34</v>
      </c>
      <c r="D392" s="1" t="s">
        <v>22</v>
      </c>
      <c r="E392" s="1" t="s">
        <v>25</v>
      </c>
      <c r="F392" s="1" t="n">
        <v>2455.28</v>
      </c>
      <c r="G392" s="1" t="n">
        <v>3</v>
      </c>
      <c r="H392" s="1" t="n">
        <v>-253.17</v>
      </c>
    </row>
    <row r="393" customFormat="false" ht="15" hidden="false" customHeight="true" outlineLevel="0" collapsed="false">
      <c r="A393" s="1" t="s">
        <v>424</v>
      </c>
      <c r="B393" s="9" t="n">
        <v>45432</v>
      </c>
      <c r="C393" s="1" t="s">
        <v>15</v>
      </c>
      <c r="D393" s="1" t="s">
        <v>27</v>
      </c>
      <c r="E393" s="1" t="s">
        <v>28</v>
      </c>
      <c r="F393" s="1" t="n">
        <v>990.98</v>
      </c>
      <c r="G393" s="1" t="n">
        <v>6</v>
      </c>
      <c r="H393" s="1" t="n">
        <v>38.48</v>
      </c>
    </row>
    <row r="394" customFormat="false" ht="15" hidden="false" customHeight="true" outlineLevel="0" collapsed="false">
      <c r="A394" s="1" t="s">
        <v>425</v>
      </c>
      <c r="B394" s="9" t="n">
        <v>45435</v>
      </c>
      <c r="C394" s="1" t="s">
        <v>19</v>
      </c>
      <c r="D394" s="1" t="s">
        <v>27</v>
      </c>
      <c r="E394" s="1" t="s">
        <v>39</v>
      </c>
      <c r="F394" s="1" t="n">
        <v>2206</v>
      </c>
      <c r="G394" s="1" t="n">
        <v>9</v>
      </c>
      <c r="H394" s="1" t="n">
        <v>-122.36</v>
      </c>
    </row>
    <row r="395" customFormat="false" ht="15" hidden="false" customHeight="true" outlineLevel="0" collapsed="false">
      <c r="A395" s="1" t="s">
        <v>426</v>
      </c>
      <c r="B395" s="9" t="n">
        <v>45437</v>
      </c>
      <c r="C395" s="1" t="s">
        <v>19</v>
      </c>
      <c r="D395" s="1" t="s">
        <v>16</v>
      </c>
      <c r="E395" s="1" t="s">
        <v>17</v>
      </c>
      <c r="F395" s="1" t="n">
        <v>1190.71</v>
      </c>
      <c r="G395" s="1" t="n">
        <v>6</v>
      </c>
      <c r="H395" s="1" t="n">
        <v>-286.51</v>
      </c>
    </row>
    <row r="396" customFormat="false" ht="15" hidden="false" customHeight="true" outlineLevel="0" collapsed="false">
      <c r="A396" s="1" t="s">
        <v>427</v>
      </c>
      <c r="B396" s="9" t="n">
        <v>45439</v>
      </c>
      <c r="C396" s="1" t="s">
        <v>19</v>
      </c>
      <c r="D396" s="1" t="s">
        <v>22</v>
      </c>
      <c r="E396" s="1" t="s">
        <v>32</v>
      </c>
      <c r="F396" s="1" t="n">
        <v>1665.48</v>
      </c>
      <c r="G396" s="1" t="n">
        <v>2</v>
      </c>
      <c r="H396" s="1" t="n">
        <v>-410.47</v>
      </c>
    </row>
    <row r="397" customFormat="false" ht="15" hidden="false" customHeight="true" outlineLevel="0" collapsed="false">
      <c r="A397" s="1" t="s">
        <v>428</v>
      </c>
      <c r="B397" s="9" t="n">
        <v>45440</v>
      </c>
      <c r="C397" s="1" t="s">
        <v>41</v>
      </c>
      <c r="D397" s="1" t="s">
        <v>16</v>
      </c>
      <c r="E397" s="1" t="s">
        <v>58</v>
      </c>
      <c r="F397" s="1" t="n">
        <v>182.75</v>
      </c>
      <c r="G397" s="1" t="n">
        <v>3</v>
      </c>
      <c r="H397" s="1" t="n">
        <v>59.4</v>
      </c>
    </row>
    <row r="398" customFormat="false" ht="15" hidden="false" customHeight="true" outlineLevel="0" collapsed="false">
      <c r="A398" s="1" t="s">
        <v>429</v>
      </c>
      <c r="B398" s="9" t="n">
        <v>45444</v>
      </c>
      <c r="C398" s="1" t="s">
        <v>41</v>
      </c>
      <c r="D398" s="1" t="s">
        <v>27</v>
      </c>
      <c r="E398" s="1" t="s">
        <v>39</v>
      </c>
      <c r="F398" s="1" t="n">
        <v>321.03</v>
      </c>
      <c r="G398" s="1" t="n">
        <v>1</v>
      </c>
      <c r="H398" s="1" t="n">
        <v>-12.11</v>
      </c>
    </row>
    <row r="399" customFormat="false" ht="15" hidden="false" customHeight="true" outlineLevel="0" collapsed="false">
      <c r="A399" s="1" t="s">
        <v>430</v>
      </c>
      <c r="B399" s="9" t="n">
        <v>45445</v>
      </c>
      <c r="C399" s="1" t="s">
        <v>34</v>
      </c>
      <c r="D399" s="1" t="s">
        <v>22</v>
      </c>
      <c r="E399" s="1" t="s">
        <v>30</v>
      </c>
      <c r="F399" s="1" t="n">
        <v>1327.02</v>
      </c>
      <c r="G399" s="1" t="n">
        <v>2</v>
      </c>
      <c r="H399" s="1" t="n">
        <v>435.45</v>
      </c>
    </row>
    <row r="400" customFormat="false" ht="15" hidden="false" customHeight="true" outlineLevel="0" collapsed="false">
      <c r="A400" s="1" t="s">
        <v>431</v>
      </c>
      <c r="B400" s="9" t="n">
        <v>45446</v>
      </c>
      <c r="C400" s="1" t="s">
        <v>41</v>
      </c>
      <c r="D400" s="1" t="s">
        <v>16</v>
      </c>
      <c r="E400" s="1" t="s">
        <v>58</v>
      </c>
      <c r="F400" s="1" t="n">
        <v>1015.92</v>
      </c>
      <c r="G400" s="1" t="n">
        <v>2</v>
      </c>
      <c r="H400" s="1" t="n">
        <v>341.83</v>
      </c>
    </row>
    <row r="401" customFormat="false" ht="15" hidden="false" customHeight="true" outlineLevel="0" collapsed="false">
      <c r="A401" s="1" t="s">
        <v>432</v>
      </c>
      <c r="B401" s="9" t="n">
        <v>45449</v>
      </c>
      <c r="C401" s="1" t="s">
        <v>19</v>
      </c>
      <c r="D401" s="1" t="s">
        <v>22</v>
      </c>
      <c r="E401" s="1" t="s">
        <v>25</v>
      </c>
      <c r="F401" s="1" t="n">
        <v>1683.42</v>
      </c>
      <c r="G401" s="1" t="n">
        <v>6</v>
      </c>
      <c r="H401" s="1" t="n">
        <v>239.56</v>
      </c>
    </row>
    <row r="402" customFormat="false" ht="15" hidden="false" customHeight="true" outlineLevel="0" collapsed="false">
      <c r="A402" s="1" t="s">
        <v>433</v>
      </c>
      <c r="B402" s="9" t="n">
        <v>45450</v>
      </c>
      <c r="C402" s="1" t="s">
        <v>34</v>
      </c>
      <c r="D402" s="1" t="s">
        <v>22</v>
      </c>
      <c r="E402" s="1" t="s">
        <v>23</v>
      </c>
      <c r="F402" s="1" t="n">
        <v>29.47</v>
      </c>
      <c r="G402" s="1" t="n">
        <v>9</v>
      </c>
      <c r="H402" s="1" t="n">
        <v>-2.28</v>
      </c>
    </row>
    <row r="403" customFormat="false" ht="15" hidden="false" customHeight="true" outlineLevel="0" collapsed="false">
      <c r="A403" s="1" t="s">
        <v>434</v>
      </c>
      <c r="B403" s="9" t="n">
        <v>45452</v>
      </c>
      <c r="C403" s="1" t="s">
        <v>15</v>
      </c>
      <c r="D403" s="1" t="s">
        <v>22</v>
      </c>
      <c r="E403" s="1" t="s">
        <v>23</v>
      </c>
      <c r="F403" s="1" t="n">
        <v>1490.52</v>
      </c>
      <c r="G403" s="1" t="n">
        <v>9</v>
      </c>
      <c r="H403" s="1" t="n">
        <v>-202.02</v>
      </c>
    </row>
    <row r="404" customFormat="false" ht="15" hidden="false" customHeight="true" outlineLevel="0" collapsed="false">
      <c r="A404" s="1" t="s">
        <v>435</v>
      </c>
      <c r="B404" s="9" t="n">
        <v>45457</v>
      </c>
      <c r="C404" s="1" t="s">
        <v>19</v>
      </c>
      <c r="D404" s="1" t="s">
        <v>22</v>
      </c>
      <c r="E404" s="1" t="s">
        <v>25</v>
      </c>
      <c r="F404" s="1" t="n">
        <v>1542.17</v>
      </c>
      <c r="G404" s="1" t="n">
        <v>1</v>
      </c>
      <c r="H404" s="1" t="n">
        <v>84.59</v>
      </c>
    </row>
    <row r="405" customFormat="false" ht="15" hidden="false" customHeight="true" outlineLevel="0" collapsed="false">
      <c r="A405" s="1" t="s">
        <v>436</v>
      </c>
      <c r="B405" s="9" t="n">
        <v>45459</v>
      </c>
      <c r="C405" s="1" t="s">
        <v>15</v>
      </c>
      <c r="D405" s="1" t="s">
        <v>22</v>
      </c>
      <c r="E405" s="1" t="s">
        <v>25</v>
      </c>
      <c r="F405" s="1" t="n">
        <v>1380.54</v>
      </c>
      <c r="G405" s="1" t="n">
        <v>8</v>
      </c>
      <c r="H405" s="1" t="n">
        <v>185.33</v>
      </c>
    </row>
    <row r="406" customFormat="false" ht="15" hidden="false" customHeight="true" outlineLevel="0" collapsed="false">
      <c r="A406" s="1" t="s">
        <v>437</v>
      </c>
      <c r="B406" s="9" t="n">
        <v>45461</v>
      </c>
      <c r="C406" s="1" t="s">
        <v>34</v>
      </c>
      <c r="D406" s="1" t="s">
        <v>27</v>
      </c>
      <c r="E406" s="1" t="s">
        <v>45</v>
      </c>
      <c r="F406" s="1" t="n">
        <v>1012.75</v>
      </c>
      <c r="G406" s="1" t="n">
        <v>4</v>
      </c>
      <c r="H406" s="1" t="n">
        <v>241.41</v>
      </c>
    </row>
    <row r="407" customFormat="false" ht="15" hidden="false" customHeight="true" outlineLevel="0" collapsed="false">
      <c r="A407" s="1" t="s">
        <v>438</v>
      </c>
      <c r="B407" s="9" t="n">
        <v>45464</v>
      </c>
      <c r="C407" s="1" t="s">
        <v>15</v>
      </c>
      <c r="D407" s="1" t="s">
        <v>22</v>
      </c>
      <c r="E407" s="1" t="s">
        <v>25</v>
      </c>
      <c r="F407" s="1" t="n">
        <v>2170.34</v>
      </c>
      <c r="G407" s="1" t="n">
        <v>4</v>
      </c>
      <c r="H407" s="1" t="n">
        <v>844.84</v>
      </c>
    </row>
    <row r="408" customFormat="false" ht="15" hidden="false" customHeight="true" outlineLevel="0" collapsed="false">
      <c r="A408" s="1" t="s">
        <v>439</v>
      </c>
      <c r="B408" s="9" t="n">
        <v>45466</v>
      </c>
      <c r="C408" s="1" t="s">
        <v>19</v>
      </c>
      <c r="D408" s="1" t="s">
        <v>22</v>
      </c>
      <c r="E408" s="1" t="s">
        <v>23</v>
      </c>
      <c r="F408" s="1" t="n">
        <v>2080.02</v>
      </c>
      <c r="G408" s="1" t="n">
        <v>5</v>
      </c>
      <c r="H408" s="1" t="n">
        <v>-17.4</v>
      </c>
    </row>
    <row r="409" customFormat="false" ht="15" hidden="false" customHeight="true" outlineLevel="0" collapsed="false">
      <c r="A409" s="1" t="s">
        <v>440</v>
      </c>
      <c r="B409" s="9" t="n">
        <v>45467</v>
      </c>
      <c r="C409" s="1" t="s">
        <v>34</v>
      </c>
      <c r="D409" s="1" t="s">
        <v>27</v>
      </c>
      <c r="E409" s="1" t="s">
        <v>45</v>
      </c>
      <c r="F409" s="1" t="n">
        <v>703.52</v>
      </c>
      <c r="G409" s="1" t="n">
        <v>6</v>
      </c>
      <c r="H409" s="1" t="n">
        <v>211.75</v>
      </c>
    </row>
    <row r="410" customFormat="false" ht="15" hidden="false" customHeight="true" outlineLevel="0" collapsed="false">
      <c r="A410" s="1" t="s">
        <v>441</v>
      </c>
      <c r="B410" s="9" t="n">
        <v>45467</v>
      </c>
      <c r="C410" s="1" t="s">
        <v>19</v>
      </c>
      <c r="D410" s="1" t="s">
        <v>22</v>
      </c>
      <c r="E410" s="1" t="s">
        <v>32</v>
      </c>
      <c r="F410" s="1" t="n">
        <v>95.76</v>
      </c>
      <c r="G410" s="1" t="n">
        <v>5</v>
      </c>
      <c r="H410" s="1" t="n">
        <v>34.52</v>
      </c>
    </row>
    <row r="411" customFormat="false" ht="15" hidden="false" customHeight="true" outlineLevel="0" collapsed="false">
      <c r="A411" s="1" t="s">
        <v>442</v>
      </c>
      <c r="B411" s="9" t="n">
        <v>45472</v>
      </c>
      <c r="C411" s="1" t="s">
        <v>15</v>
      </c>
      <c r="D411" s="1" t="s">
        <v>22</v>
      </c>
      <c r="E411" s="1" t="s">
        <v>30</v>
      </c>
      <c r="F411" s="1" t="n">
        <v>1564.96</v>
      </c>
      <c r="G411" s="1" t="n">
        <v>3</v>
      </c>
      <c r="H411" s="1" t="n">
        <v>300.62</v>
      </c>
    </row>
    <row r="412" customFormat="false" ht="15" hidden="false" customHeight="true" outlineLevel="0" collapsed="false">
      <c r="A412" s="1" t="s">
        <v>443</v>
      </c>
      <c r="B412" s="9" t="n">
        <v>45473</v>
      </c>
      <c r="C412" s="1" t="s">
        <v>34</v>
      </c>
      <c r="D412" s="1" t="s">
        <v>27</v>
      </c>
      <c r="E412" s="1" t="s">
        <v>28</v>
      </c>
      <c r="F412" s="1" t="n">
        <v>259.76</v>
      </c>
      <c r="G412" s="1" t="n">
        <v>1</v>
      </c>
      <c r="H412" s="1" t="n">
        <v>16.95</v>
      </c>
    </row>
    <row r="413" customFormat="false" ht="15" hidden="false" customHeight="true" outlineLevel="0" collapsed="false">
      <c r="A413" s="1" t="s">
        <v>444</v>
      </c>
      <c r="B413" s="9" t="n">
        <v>45475</v>
      </c>
      <c r="C413" s="1" t="s">
        <v>41</v>
      </c>
      <c r="D413" s="1" t="s">
        <v>16</v>
      </c>
      <c r="E413" s="1" t="s">
        <v>71</v>
      </c>
      <c r="F413" s="1" t="n">
        <v>1653.6</v>
      </c>
      <c r="G413" s="1" t="n">
        <v>6</v>
      </c>
      <c r="H413" s="1" t="n">
        <v>163.27</v>
      </c>
    </row>
    <row r="414" customFormat="false" ht="15" hidden="false" customHeight="true" outlineLevel="0" collapsed="false">
      <c r="A414" s="1" t="s">
        <v>445</v>
      </c>
      <c r="B414" s="9" t="n">
        <v>45476</v>
      </c>
      <c r="C414" s="1" t="s">
        <v>34</v>
      </c>
      <c r="D414" s="1" t="s">
        <v>22</v>
      </c>
      <c r="E414" s="1" t="s">
        <v>32</v>
      </c>
      <c r="F414" s="1" t="n">
        <v>535.56</v>
      </c>
      <c r="G414" s="1" t="n">
        <v>2</v>
      </c>
      <c r="H414" s="1" t="n">
        <v>-123.94</v>
      </c>
    </row>
    <row r="415" customFormat="false" ht="15" hidden="false" customHeight="true" outlineLevel="0" collapsed="false">
      <c r="A415" s="1" t="s">
        <v>446</v>
      </c>
      <c r="B415" s="9" t="n">
        <v>45483</v>
      </c>
      <c r="C415" s="1" t="s">
        <v>15</v>
      </c>
      <c r="D415" s="1" t="s">
        <v>22</v>
      </c>
      <c r="E415" s="1" t="s">
        <v>32</v>
      </c>
      <c r="F415" s="1" t="n">
        <v>1245.8</v>
      </c>
      <c r="G415" s="1" t="n">
        <v>2</v>
      </c>
      <c r="H415" s="1" t="n">
        <v>188.5</v>
      </c>
    </row>
    <row r="416" customFormat="false" ht="15" hidden="false" customHeight="true" outlineLevel="0" collapsed="false">
      <c r="A416" s="1" t="s">
        <v>447</v>
      </c>
      <c r="B416" s="9" t="n">
        <v>45486</v>
      </c>
      <c r="C416" s="1" t="s">
        <v>41</v>
      </c>
      <c r="D416" s="1" t="s">
        <v>22</v>
      </c>
      <c r="E416" s="1" t="s">
        <v>25</v>
      </c>
      <c r="F416" s="1" t="n">
        <v>1918.08</v>
      </c>
      <c r="G416" s="1" t="n">
        <v>7</v>
      </c>
      <c r="H416" s="1" t="n">
        <v>-341.25</v>
      </c>
    </row>
    <row r="417" customFormat="false" ht="15" hidden="false" customHeight="true" outlineLevel="0" collapsed="false">
      <c r="A417" s="1" t="s">
        <v>448</v>
      </c>
      <c r="B417" s="9" t="n">
        <v>45490</v>
      </c>
      <c r="C417" s="1" t="s">
        <v>15</v>
      </c>
      <c r="D417" s="1" t="s">
        <v>16</v>
      </c>
      <c r="E417" s="1" t="s">
        <v>17</v>
      </c>
      <c r="F417" s="1" t="n">
        <v>1144.04</v>
      </c>
      <c r="G417" s="1" t="n">
        <v>4</v>
      </c>
      <c r="H417" s="1" t="n">
        <v>-260.13</v>
      </c>
    </row>
    <row r="418" customFormat="false" ht="15" hidden="false" customHeight="true" outlineLevel="0" collapsed="false">
      <c r="A418" s="1" t="s">
        <v>449</v>
      </c>
      <c r="B418" s="9" t="n">
        <v>45495</v>
      </c>
      <c r="C418" s="1" t="s">
        <v>15</v>
      </c>
      <c r="D418" s="1" t="s">
        <v>22</v>
      </c>
      <c r="E418" s="1" t="s">
        <v>30</v>
      </c>
      <c r="F418" s="1" t="n">
        <v>2184.43</v>
      </c>
      <c r="G418" s="1" t="n">
        <v>4</v>
      </c>
      <c r="H418" s="1" t="n">
        <v>-373.96</v>
      </c>
    </row>
    <row r="419" customFormat="false" ht="15" hidden="false" customHeight="true" outlineLevel="0" collapsed="false">
      <c r="A419" s="1" t="s">
        <v>450</v>
      </c>
      <c r="B419" s="9" t="n">
        <v>45495</v>
      </c>
      <c r="C419" s="1" t="s">
        <v>41</v>
      </c>
      <c r="D419" s="1" t="s">
        <v>27</v>
      </c>
      <c r="E419" s="1" t="s">
        <v>45</v>
      </c>
      <c r="F419" s="1" t="n">
        <v>793.64</v>
      </c>
      <c r="G419" s="1" t="n">
        <v>2</v>
      </c>
      <c r="H419" s="1" t="n">
        <v>-20.22</v>
      </c>
    </row>
    <row r="420" customFormat="false" ht="15" hidden="false" customHeight="true" outlineLevel="0" collapsed="false">
      <c r="A420" s="1" t="s">
        <v>451</v>
      </c>
      <c r="B420" s="9" t="n">
        <v>45500</v>
      </c>
      <c r="C420" s="1" t="s">
        <v>34</v>
      </c>
      <c r="D420" s="1" t="s">
        <v>22</v>
      </c>
      <c r="E420" s="1" t="s">
        <v>23</v>
      </c>
      <c r="F420" s="1" t="n">
        <v>2391.91</v>
      </c>
      <c r="G420" s="1" t="n">
        <v>6</v>
      </c>
      <c r="H420" s="1" t="n">
        <v>738.13</v>
      </c>
    </row>
    <row r="421" customFormat="false" ht="15" hidden="false" customHeight="true" outlineLevel="0" collapsed="false">
      <c r="A421" s="1" t="s">
        <v>452</v>
      </c>
      <c r="B421" s="9" t="n">
        <v>45501</v>
      </c>
      <c r="C421" s="1" t="s">
        <v>19</v>
      </c>
      <c r="D421" s="1" t="s">
        <v>16</v>
      </c>
      <c r="E421" s="1" t="s">
        <v>17</v>
      </c>
      <c r="F421" s="1" t="n">
        <v>2274.4</v>
      </c>
      <c r="G421" s="1" t="n">
        <v>2</v>
      </c>
      <c r="H421" s="1" t="n">
        <v>-282.53</v>
      </c>
    </row>
    <row r="422" customFormat="false" ht="15" hidden="false" customHeight="true" outlineLevel="0" collapsed="false">
      <c r="A422" s="1" t="s">
        <v>453</v>
      </c>
      <c r="B422" s="9" t="n">
        <v>45505</v>
      </c>
      <c r="C422" s="1" t="s">
        <v>19</v>
      </c>
      <c r="D422" s="1" t="s">
        <v>16</v>
      </c>
      <c r="E422" s="1" t="s">
        <v>20</v>
      </c>
      <c r="F422" s="1" t="n">
        <v>528.36</v>
      </c>
      <c r="G422" s="1" t="n">
        <v>7</v>
      </c>
      <c r="H422" s="1" t="n">
        <v>-23.67</v>
      </c>
    </row>
    <row r="423" customFormat="false" ht="15" hidden="false" customHeight="true" outlineLevel="0" collapsed="false">
      <c r="A423" s="1" t="s">
        <v>454</v>
      </c>
      <c r="B423" s="9" t="n">
        <v>45510</v>
      </c>
      <c r="C423" s="1" t="s">
        <v>19</v>
      </c>
      <c r="D423" s="1" t="s">
        <v>27</v>
      </c>
      <c r="E423" s="1" t="s">
        <v>45</v>
      </c>
      <c r="F423" s="1" t="n">
        <v>547.36</v>
      </c>
      <c r="G423" s="1" t="n">
        <v>4</v>
      </c>
      <c r="H423" s="1" t="n">
        <v>-124.12</v>
      </c>
    </row>
    <row r="424" customFormat="false" ht="15" hidden="false" customHeight="true" outlineLevel="0" collapsed="false">
      <c r="A424" s="1" t="s">
        <v>455</v>
      </c>
      <c r="B424" s="9" t="n">
        <v>45513</v>
      </c>
      <c r="C424" s="1" t="s">
        <v>41</v>
      </c>
      <c r="D424" s="1" t="s">
        <v>22</v>
      </c>
      <c r="E424" s="1" t="s">
        <v>25</v>
      </c>
      <c r="F424" s="1" t="n">
        <v>2153.11</v>
      </c>
      <c r="G424" s="1" t="n">
        <v>9</v>
      </c>
      <c r="H424" s="1" t="n">
        <v>151.15</v>
      </c>
    </row>
    <row r="425" customFormat="false" ht="15" hidden="false" customHeight="true" outlineLevel="0" collapsed="false">
      <c r="A425" s="1" t="s">
        <v>456</v>
      </c>
      <c r="B425" s="9" t="n">
        <v>45517</v>
      </c>
      <c r="C425" s="1" t="s">
        <v>34</v>
      </c>
      <c r="D425" s="1" t="s">
        <v>22</v>
      </c>
      <c r="E425" s="1" t="s">
        <v>23</v>
      </c>
      <c r="F425" s="1" t="n">
        <v>1843.67</v>
      </c>
      <c r="G425" s="1" t="n">
        <v>2</v>
      </c>
      <c r="H425" s="1" t="n">
        <v>529.88</v>
      </c>
    </row>
    <row r="426" customFormat="false" ht="15" hidden="false" customHeight="true" outlineLevel="0" collapsed="false">
      <c r="A426" s="1" t="s">
        <v>457</v>
      </c>
      <c r="B426" s="9" t="n">
        <v>45517</v>
      </c>
      <c r="C426" s="1" t="s">
        <v>41</v>
      </c>
      <c r="D426" s="1" t="s">
        <v>22</v>
      </c>
      <c r="E426" s="1" t="s">
        <v>25</v>
      </c>
      <c r="F426" s="1" t="n">
        <v>1598.94</v>
      </c>
      <c r="G426" s="1" t="n">
        <v>8</v>
      </c>
      <c r="H426" s="1" t="n">
        <v>287.42</v>
      </c>
    </row>
    <row r="427" customFormat="false" ht="15" hidden="false" customHeight="true" outlineLevel="0" collapsed="false">
      <c r="A427" s="1" t="s">
        <v>458</v>
      </c>
      <c r="B427" s="9" t="n">
        <v>45517</v>
      </c>
      <c r="C427" s="1" t="s">
        <v>15</v>
      </c>
      <c r="D427" s="1" t="s">
        <v>16</v>
      </c>
      <c r="E427" s="1" t="s">
        <v>17</v>
      </c>
      <c r="F427" s="1" t="n">
        <v>2347.61</v>
      </c>
      <c r="G427" s="1" t="n">
        <v>1</v>
      </c>
      <c r="H427" s="1" t="n">
        <v>-585.62</v>
      </c>
    </row>
    <row r="428" customFormat="false" ht="15" hidden="false" customHeight="true" outlineLevel="0" collapsed="false">
      <c r="A428" s="1" t="s">
        <v>459</v>
      </c>
      <c r="B428" s="9" t="n">
        <v>45518</v>
      </c>
      <c r="C428" s="1" t="s">
        <v>41</v>
      </c>
      <c r="D428" s="1" t="s">
        <v>22</v>
      </c>
      <c r="E428" s="1" t="s">
        <v>25</v>
      </c>
      <c r="F428" s="1" t="n">
        <v>1441.95</v>
      </c>
      <c r="G428" s="1" t="n">
        <v>5</v>
      </c>
      <c r="H428" s="1" t="n">
        <v>-230.78</v>
      </c>
    </row>
    <row r="429" customFormat="false" ht="15" hidden="false" customHeight="true" outlineLevel="0" collapsed="false">
      <c r="A429" s="1" t="s">
        <v>460</v>
      </c>
      <c r="B429" s="9" t="n">
        <v>45519</v>
      </c>
      <c r="C429" s="1" t="s">
        <v>41</v>
      </c>
      <c r="D429" s="1" t="s">
        <v>27</v>
      </c>
      <c r="E429" s="1" t="s">
        <v>45</v>
      </c>
      <c r="F429" s="1" t="n">
        <v>670.41</v>
      </c>
      <c r="G429" s="1" t="n">
        <v>2</v>
      </c>
      <c r="H429" s="1" t="n">
        <v>111.66</v>
      </c>
    </row>
    <row r="430" customFormat="false" ht="15" hidden="false" customHeight="true" outlineLevel="0" collapsed="false">
      <c r="A430" s="1" t="s">
        <v>461</v>
      </c>
      <c r="B430" s="9" t="n">
        <v>45519</v>
      </c>
      <c r="C430" s="1" t="s">
        <v>34</v>
      </c>
      <c r="D430" s="1" t="s">
        <v>22</v>
      </c>
      <c r="E430" s="1" t="s">
        <v>23</v>
      </c>
      <c r="F430" s="1" t="n">
        <v>134.09</v>
      </c>
      <c r="G430" s="1" t="n">
        <v>5</v>
      </c>
      <c r="H430" s="1" t="n">
        <v>-29.7</v>
      </c>
    </row>
    <row r="431" customFormat="false" ht="15" hidden="false" customHeight="true" outlineLevel="0" collapsed="false">
      <c r="A431" s="1" t="s">
        <v>462</v>
      </c>
      <c r="B431" s="9" t="n">
        <v>45520</v>
      </c>
      <c r="C431" s="1" t="s">
        <v>34</v>
      </c>
      <c r="D431" s="1" t="s">
        <v>22</v>
      </c>
      <c r="E431" s="1" t="s">
        <v>25</v>
      </c>
      <c r="F431" s="1" t="n">
        <v>2003.46</v>
      </c>
      <c r="G431" s="1" t="n">
        <v>1</v>
      </c>
      <c r="H431" s="1" t="n">
        <v>-242</v>
      </c>
    </row>
    <row r="432" customFormat="false" ht="15" hidden="false" customHeight="true" outlineLevel="0" collapsed="false">
      <c r="A432" s="1" t="s">
        <v>463</v>
      </c>
      <c r="B432" s="9" t="n">
        <v>45522</v>
      </c>
      <c r="C432" s="1" t="s">
        <v>41</v>
      </c>
      <c r="D432" s="1" t="s">
        <v>22</v>
      </c>
      <c r="E432" s="1" t="s">
        <v>32</v>
      </c>
      <c r="F432" s="1" t="n">
        <v>1829.42</v>
      </c>
      <c r="G432" s="1" t="n">
        <v>5</v>
      </c>
      <c r="H432" s="1" t="n">
        <v>359.1</v>
      </c>
    </row>
    <row r="433" customFormat="false" ht="15" hidden="false" customHeight="true" outlineLevel="0" collapsed="false">
      <c r="A433" s="1" t="s">
        <v>464</v>
      </c>
      <c r="B433" s="9" t="n">
        <v>45523</v>
      </c>
      <c r="C433" s="1" t="s">
        <v>41</v>
      </c>
      <c r="D433" s="1" t="s">
        <v>22</v>
      </c>
      <c r="E433" s="1" t="s">
        <v>23</v>
      </c>
      <c r="F433" s="1" t="n">
        <v>538.12</v>
      </c>
      <c r="G433" s="1" t="n">
        <v>2</v>
      </c>
      <c r="H433" s="1" t="n">
        <v>118.28</v>
      </c>
    </row>
    <row r="434" customFormat="false" ht="15" hidden="false" customHeight="true" outlineLevel="0" collapsed="false">
      <c r="A434" s="1" t="s">
        <v>465</v>
      </c>
      <c r="B434" s="9" t="n">
        <v>45527</v>
      </c>
      <c r="C434" s="1" t="s">
        <v>19</v>
      </c>
      <c r="D434" s="1" t="s">
        <v>16</v>
      </c>
      <c r="E434" s="1" t="s">
        <v>17</v>
      </c>
      <c r="F434" s="1" t="n">
        <v>397.22</v>
      </c>
      <c r="G434" s="1" t="n">
        <v>6</v>
      </c>
      <c r="H434" s="1" t="n">
        <v>23.13</v>
      </c>
    </row>
    <row r="435" customFormat="false" ht="15" hidden="false" customHeight="true" outlineLevel="0" collapsed="false">
      <c r="A435" s="1" t="s">
        <v>466</v>
      </c>
      <c r="B435" s="9" t="n">
        <v>45530</v>
      </c>
      <c r="C435" s="1" t="s">
        <v>15</v>
      </c>
      <c r="D435" s="1" t="s">
        <v>16</v>
      </c>
      <c r="E435" s="1" t="s">
        <v>58</v>
      </c>
      <c r="F435" s="1" t="n">
        <v>583.94</v>
      </c>
      <c r="G435" s="1" t="n">
        <v>9</v>
      </c>
      <c r="H435" s="1" t="n">
        <v>102.5</v>
      </c>
    </row>
    <row r="436" customFormat="false" ht="15" hidden="false" customHeight="true" outlineLevel="0" collapsed="false">
      <c r="A436" s="1" t="s">
        <v>467</v>
      </c>
      <c r="B436" s="9" t="n">
        <v>45533</v>
      </c>
      <c r="C436" s="1" t="s">
        <v>34</v>
      </c>
      <c r="D436" s="1" t="s">
        <v>16</v>
      </c>
      <c r="E436" s="1" t="s">
        <v>20</v>
      </c>
      <c r="F436" s="1" t="n">
        <v>2377.02</v>
      </c>
      <c r="G436" s="1" t="n">
        <v>5</v>
      </c>
      <c r="H436" s="1" t="n">
        <v>887.07</v>
      </c>
    </row>
    <row r="437" customFormat="false" ht="15" hidden="false" customHeight="true" outlineLevel="0" collapsed="false">
      <c r="A437" s="1" t="s">
        <v>468</v>
      </c>
      <c r="B437" s="9" t="n">
        <v>45534</v>
      </c>
      <c r="C437" s="1" t="s">
        <v>34</v>
      </c>
      <c r="D437" s="1" t="s">
        <v>27</v>
      </c>
      <c r="E437" s="1" t="s">
        <v>28</v>
      </c>
      <c r="F437" s="1" t="n">
        <v>220.99</v>
      </c>
      <c r="G437" s="1" t="n">
        <v>5</v>
      </c>
      <c r="H437" s="1" t="n">
        <v>-21.19</v>
      </c>
    </row>
    <row r="438" customFormat="false" ht="15" hidden="false" customHeight="true" outlineLevel="0" collapsed="false">
      <c r="A438" s="1" t="s">
        <v>469</v>
      </c>
      <c r="B438" s="9" t="n">
        <v>45536</v>
      </c>
      <c r="C438" s="1" t="s">
        <v>34</v>
      </c>
      <c r="D438" s="1" t="s">
        <v>16</v>
      </c>
      <c r="E438" s="1" t="s">
        <v>71</v>
      </c>
      <c r="F438" s="1" t="n">
        <v>962.89</v>
      </c>
      <c r="G438" s="1" t="n">
        <v>4</v>
      </c>
      <c r="H438" s="1" t="n">
        <v>28.09</v>
      </c>
    </row>
    <row r="439" customFormat="false" ht="15" hidden="false" customHeight="true" outlineLevel="0" collapsed="false">
      <c r="A439" s="1" t="s">
        <v>470</v>
      </c>
      <c r="B439" s="9" t="n">
        <v>45541</v>
      </c>
      <c r="C439" s="1" t="s">
        <v>34</v>
      </c>
      <c r="D439" s="1" t="s">
        <v>22</v>
      </c>
      <c r="E439" s="1" t="s">
        <v>32</v>
      </c>
      <c r="F439" s="1" t="n">
        <v>1907.3</v>
      </c>
      <c r="G439" s="1" t="n">
        <v>5</v>
      </c>
      <c r="H439" s="1" t="n">
        <v>19.47</v>
      </c>
    </row>
    <row r="440" customFormat="false" ht="15" hidden="false" customHeight="true" outlineLevel="0" collapsed="false">
      <c r="A440" s="1" t="s">
        <v>471</v>
      </c>
      <c r="B440" s="9" t="n">
        <v>45541</v>
      </c>
      <c r="C440" s="1" t="s">
        <v>19</v>
      </c>
      <c r="D440" s="1" t="s">
        <v>16</v>
      </c>
      <c r="E440" s="1" t="s">
        <v>71</v>
      </c>
      <c r="F440" s="1" t="n">
        <v>613.11</v>
      </c>
      <c r="G440" s="1" t="n">
        <v>6</v>
      </c>
      <c r="H440" s="1" t="n">
        <v>74.5</v>
      </c>
    </row>
    <row r="441" customFormat="false" ht="15" hidden="false" customHeight="true" outlineLevel="0" collapsed="false">
      <c r="A441" s="1" t="s">
        <v>472</v>
      </c>
      <c r="B441" s="9" t="n">
        <v>45542</v>
      </c>
      <c r="C441" s="1" t="s">
        <v>34</v>
      </c>
      <c r="D441" s="1" t="s">
        <v>22</v>
      </c>
      <c r="E441" s="1" t="s">
        <v>23</v>
      </c>
      <c r="F441" s="1" t="n">
        <v>2135.46</v>
      </c>
      <c r="G441" s="1" t="n">
        <v>7</v>
      </c>
      <c r="H441" s="1" t="n">
        <v>-93.72</v>
      </c>
    </row>
    <row r="442" customFormat="false" ht="15" hidden="false" customHeight="true" outlineLevel="0" collapsed="false">
      <c r="A442" s="1" t="s">
        <v>473</v>
      </c>
      <c r="B442" s="9" t="n">
        <v>45543</v>
      </c>
      <c r="C442" s="1" t="s">
        <v>41</v>
      </c>
      <c r="D442" s="1" t="s">
        <v>22</v>
      </c>
      <c r="E442" s="1" t="s">
        <v>30</v>
      </c>
      <c r="F442" s="1" t="n">
        <v>1636.14</v>
      </c>
      <c r="G442" s="1" t="n">
        <v>5</v>
      </c>
      <c r="H442" s="1" t="n">
        <v>-49.34</v>
      </c>
    </row>
    <row r="443" customFormat="false" ht="15" hidden="false" customHeight="true" outlineLevel="0" collapsed="false">
      <c r="A443" s="1" t="s">
        <v>474</v>
      </c>
      <c r="B443" s="9" t="n">
        <v>45544</v>
      </c>
      <c r="C443" s="1" t="s">
        <v>15</v>
      </c>
      <c r="D443" s="1" t="s">
        <v>27</v>
      </c>
      <c r="E443" s="1" t="s">
        <v>39</v>
      </c>
      <c r="F443" s="1" t="n">
        <v>430.49</v>
      </c>
      <c r="G443" s="1" t="n">
        <v>1</v>
      </c>
      <c r="H443" s="1" t="n">
        <v>-51.48</v>
      </c>
    </row>
    <row r="444" customFormat="false" ht="15" hidden="false" customHeight="true" outlineLevel="0" collapsed="false">
      <c r="A444" s="1" t="s">
        <v>475</v>
      </c>
      <c r="B444" s="9" t="n">
        <v>45545</v>
      </c>
      <c r="C444" s="1" t="s">
        <v>15</v>
      </c>
      <c r="D444" s="1" t="s">
        <v>27</v>
      </c>
      <c r="E444" s="1" t="s">
        <v>39</v>
      </c>
      <c r="F444" s="1" t="n">
        <v>1246.31</v>
      </c>
      <c r="G444" s="1" t="n">
        <v>3</v>
      </c>
      <c r="H444" s="1" t="n">
        <v>543</v>
      </c>
    </row>
    <row r="445" customFormat="false" ht="15" hidden="false" customHeight="true" outlineLevel="0" collapsed="false">
      <c r="A445" s="1" t="s">
        <v>476</v>
      </c>
      <c r="B445" s="9" t="n">
        <v>45545</v>
      </c>
      <c r="C445" s="1" t="s">
        <v>15</v>
      </c>
      <c r="D445" s="1" t="s">
        <v>22</v>
      </c>
      <c r="E445" s="1" t="s">
        <v>32</v>
      </c>
      <c r="F445" s="1" t="n">
        <v>1240.45</v>
      </c>
      <c r="G445" s="1" t="n">
        <v>2</v>
      </c>
      <c r="H445" s="1" t="n">
        <v>-85.88</v>
      </c>
    </row>
    <row r="446" customFormat="false" ht="15" hidden="false" customHeight="true" outlineLevel="0" collapsed="false">
      <c r="A446" s="1" t="s">
        <v>477</v>
      </c>
      <c r="B446" s="9" t="n">
        <v>45547</v>
      </c>
      <c r="C446" s="1" t="s">
        <v>15</v>
      </c>
      <c r="D446" s="1" t="s">
        <v>16</v>
      </c>
      <c r="E446" s="1" t="s">
        <v>71</v>
      </c>
      <c r="F446" s="1" t="n">
        <v>1066.64</v>
      </c>
      <c r="G446" s="1" t="n">
        <v>5</v>
      </c>
      <c r="H446" s="1" t="n">
        <v>-46.37</v>
      </c>
    </row>
    <row r="447" customFormat="false" ht="15" hidden="false" customHeight="true" outlineLevel="0" collapsed="false">
      <c r="A447" s="1" t="s">
        <v>478</v>
      </c>
      <c r="B447" s="9" t="n">
        <v>45551</v>
      </c>
      <c r="C447" s="1" t="s">
        <v>41</v>
      </c>
      <c r="D447" s="1" t="s">
        <v>16</v>
      </c>
      <c r="E447" s="1" t="s">
        <v>58</v>
      </c>
      <c r="F447" s="1" t="n">
        <v>2492.25</v>
      </c>
      <c r="G447" s="1" t="n">
        <v>3</v>
      </c>
      <c r="H447" s="1" t="n">
        <v>253.05</v>
      </c>
    </row>
    <row r="448" customFormat="false" ht="15" hidden="false" customHeight="true" outlineLevel="0" collapsed="false">
      <c r="A448" s="1" t="s">
        <v>479</v>
      </c>
      <c r="B448" s="9" t="n">
        <v>45551</v>
      </c>
      <c r="C448" s="1" t="s">
        <v>19</v>
      </c>
      <c r="D448" s="1" t="s">
        <v>22</v>
      </c>
      <c r="E448" s="1" t="s">
        <v>23</v>
      </c>
      <c r="F448" s="1" t="n">
        <v>2044.64</v>
      </c>
      <c r="G448" s="1" t="n">
        <v>9</v>
      </c>
      <c r="H448" s="1" t="n">
        <v>874.25</v>
      </c>
    </row>
    <row r="449" customFormat="false" ht="15" hidden="false" customHeight="true" outlineLevel="0" collapsed="false">
      <c r="A449" s="1" t="s">
        <v>480</v>
      </c>
      <c r="B449" s="9" t="n">
        <v>45555</v>
      </c>
      <c r="C449" s="1" t="s">
        <v>41</v>
      </c>
      <c r="D449" s="1" t="s">
        <v>27</v>
      </c>
      <c r="E449" s="1" t="s">
        <v>45</v>
      </c>
      <c r="F449" s="1" t="n">
        <v>1907.35</v>
      </c>
      <c r="G449" s="1" t="n">
        <v>5</v>
      </c>
      <c r="H449" s="1" t="n">
        <v>245.83</v>
      </c>
    </row>
    <row r="450" customFormat="false" ht="15" hidden="false" customHeight="true" outlineLevel="0" collapsed="false">
      <c r="A450" s="1" t="s">
        <v>481</v>
      </c>
      <c r="B450" s="9" t="n">
        <v>45556</v>
      </c>
      <c r="C450" s="1" t="s">
        <v>34</v>
      </c>
      <c r="D450" s="1" t="s">
        <v>16</v>
      </c>
      <c r="E450" s="1" t="s">
        <v>20</v>
      </c>
      <c r="F450" s="1" t="n">
        <v>1315.64</v>
      </c>
      <c r="G450" s="1" t="n">
        <v>2</v>
      </c>
      <c r="H450" s="1" t="n">
        <v>264.68</v>
      </c>
    </row>
    <row r="451" customFormat="false" ht="15" hidden="false" customHeight="true" outlineLevel="0" collapsed="false">
      <c r="A451" s="1" t="s">
        <v>482</v>
      </c>
      <c r="B451" s="9" t="n">
        <v>45556</v>
      </c>
      <c r="C451" s="1" t="s">
        <v>15</v>
      </c>
      <c r="D451" s="1" t="s">
        <v>27</v>
      </c>
      <c r="E451" s="1" t="s">
        <v>39</v>
      </c>
      <c r="F451" s="1" t="n">
        <v>2399.75</v>
      </c>
      <c r="G451" s="1" t="n">
        <v>5</v>
      </c>
      <c r="H451" s="1" t="n">
        <v>219.57</v>
      </c>
    </row>
    <row r="452" customFormat="false" ht="15" hidden="false" customHeight="true" outlineLevel="0" collapsed="false">
      <c r="A452" s="1" t="s">
        <v>483</v>
      </c>
      <c r="B452" s="9" t="n">
        <v>45558</v>
      </c>
      <c r="C452" s="1" t="s">
        <v>19</v>
      </c>
      <c r="D452" s="1" t="s">
        <v>22</v>
      </c>
      <c r="E452" s="1" t="s">
        <v>30</v>
      </c>
      <c r="F452" s="1" t="n">
        <v>138.34</v>
      </c>
      <c r="G452" s="1" t="n">
        <v>9</v>
      </c>
      <c r="H452" s="1" t="n">
        <v>20.23</v>
      </c>
    </row>
    <row r="453" customFormat="false" ht="15" hidden="false" customHeight="true" outlineLevel="0" collapsed="false">
      <c r="A453" s="1" t="s">
        <v>484</v>
      </c>
      <c r="B453" s="9" t="n">
        <v>45568</v>
      </c>
      <c r="C453" s="1" t="s">
        <v>41</v>
      </c>
      <c r="D453" s="1" t="s">
        <v>27</v>
      </c>
      <c r="E453" s="1" t="s">
        <v>55</v>
      </c>
      <c r="F453" s="1" t="n">
        <v>959.7</v>
      </c>
      <c r="G453" s="1" t="n">
        <v>1</v>
      </c>
      <c r="H453" s="1" t="n">
        <v>-235.42</v>
      </c>
    </row>
    <row r="454" customFormat="false" ht="15" hidden="false" customHeight="true" outlineLevel="0" collapsed="false">
      <c r="A454" s="1" t="s">
        <v>485</v>
      </c>
      <c r="B454" s="9" t="n">
        <v>45568</v>
      </c>
      <c r="C454" s="1" t="s">
        <v>34</v>
      </c>
      <c r="D454" s="1" t="s">
        <v>27</v>
      </c>
      <c r="E454" s="1" t="s">
        <v>45</v>
      </c>
      <c r="F454" s="1" t="n">
        <v>1432.22</v>
      </c>
      <c r="G454" s="1" t="n">
        <v>2</v>
      </c>
      <c r="H454" s="1" t="n">
        <v>531.67</v>
      </c>
    </row>
    <row r="455" customFormat="false" ht="15" hidden="false" customHeight="true" outlineLevel="0" collapsed="false">
      <c r="A455" s="1" t="s">
        <v>486</v>
      </c>
      <c r="B455" s="9" t="n">
        <v>45570</v>
      </c>
      <c r="C455" s="1" t="s">
        <v>34</v>
      </c>
      <c r="D455" s="1" t="s">
        <v>16</v>
      </c>
      <c r="E455" s="1" t="s">
        <v>71</v>
      </c>
      <c r="F455" s="1" t="n">
        <v>2307.8</v>
      </c>
      <c r="G455" s="1" t="n">
        <v>9</v>
      </c>
      <c r="H455" s="1" t="n">
        <v>565.57</v>
      </c>
    </row>
    <row r="456" customFormat="false" ht="15" hidden="false" customHeight="true" outlineLevel="0" collapsed="false">
      <c r="A456" s="1" t="s">
        <v>487</v>
      </c>
      <c r="B456" s="9" t="n">
        <v>45570</v>
      </c>
      <c r="C456" s="1" t="s">
        <v>41</v>
      </c>
      <c r="D456" s="1" t="s">
        <v>27</v>
      </c>
      <c r="E456" s="1" t="s">
        <v>28</v>
      </c>
      <c r="F456" s="1" t="n">
        <v>466.43</v>
      </c>
      <c r="G456" s="1" t="n">
        <v>4</v>
      </c>
      <c r="H456" s="1" t="n">
        <v>-87.69</v>
      </c>
    </row>
    <row r="457" customFormat="false" ht="15" hidden="false" customHeight="true" outlineLevel="0" collapsed="false">
      <c r="A457" s="1" t="s">
        <v>488</v>
      </c>
      <c r="B457" s="9" t="n">
        <v>45573</v>
      </c>
      <c r="C457" s="1" t="s">
        <v>41</v>
      </c>
      <c r="D457" s="1" t="s">
        <v>27</v>
      </c>
      <c r="E457" s="1" t="s">
        <v>28</v>
      </c>
      <c r="F457" s="1" t="n">
        <v>872.28</v>
      </c>
      <c r="G457" s="1" t="n">
        <v>6</v>
      </c>
      <c r="H457" s="1" t="n">
        <v>-45.62</v>
      </c>
    </row>
    <row r="458" customFormat="false" ht="15" hidden="false" customHeight="true" outlineLevel="0" collapsed="false">
      <c r="A458" s="1" t="s">
        <v>489</v>
      </c>
      <c r="B458" s="9" t="n">
        <v>45574</v>
      </c>
      <c r="C458" s="1" t="s">
        <v>34</v>
      </c>
      <c r="D458" s="1" t="s">
        <v>27</v>
      </c>
      <c r="E458" s="1" t="s">
        <v>28</v>
      </c>
      <c r="F458" s="1" t="n">
        <v>241.03</v>
      </c>
      <c r="G458" s="1" t="n">
        <v>6</v>
      </c>
      <c r="H458" s="1" t="n">
        <v>67.17</v>
      </c>
    </row>
    <row r="459" customFormat="false" ht="15" hidden="false" customHeight="true" outlineLevel="0" collapsed="false">
      <c r="A459" s="1" t="s">
        <v>490</v>
      </c>
      <c r="B459" s="9" t="n">
        <v>45575</v>
      </c>
      <c r="C459" s="1" t="s">
        <v>34</v>
      </c>
      <c r="D459" s="1" t="s">
        <v>27</v>
      </c>
      <c r="E459" s="1" t="s">
        <v>55</v>
      </c>
      <c r="F459" s="1" t="n">
        <v>1834.34</v>
      </c>
      <c r="G459" s="1" t="n">
        <v>7</v>
      </c>
      <c r="H459" s="1" t="n">
        <v>-353.77</v>
      </c>
    </row>
    <row r="460" customFormat="false" ht="15" hidden="false" customHeight="true" outlineLevel="0" collapsed="false">
      <c r="A460" s="1" t="s">
        <v>491</v>
      </c>
      <c r="B460" s="9" t="n">
        <v>45576</v>
      </c>
      <c r="C460" s="1" t="s">
        <v>15</v>
      </c>
      <c r="D460" s="1" t="s">
        <v>16</v>
      </c>
      <c r="E460" s="1" t="s">
        <v>58</v>
      </c>
      <c r="F460" s="1" t="n">
        <v>642.4</v>
      </c>
      <c r="G460" s="1" t="n">
        <v>1</v>
      </c>
      <c r="H460" s="1" t="n">
        <v>221.91</v>
      </c>
    </row>
    <row r="461" customFormat="false" ht="15" hidden="false" customHeight="true" outlineLevel="0" collapsed="false">
      <c r="A461" s="1" t="s">
        <v>492</v>
      </c>
      <c r="B461" s="9" t="n">
        <v>45576</v>
      </c>
      <c r="C461" s="1" t="s">
        <v>19</v>
      </c>
      <c r="D461" s="1" t="s">
        <v>16</v>
      </c>
      <c r="E461" s="1" t="s">
        <v>71</v>
      </c>
      <c r="F461" s="1" t="n">
        <v>1702.38</v>
      </c>
      <c r="G461" s="1" t="n">
        <v>8</v>
      </c>
      <c r="H461" s="1" t="n">
        <v>475.62</v>
      </c>
    </row>
    <row r="462" customFormat="false" ht="15" hidden="false" customHeight="true" outlineLevel="0" collapsed="false">
      <c r="A462" s="1" t="s">
        <v>493</v>
      </c>
      <c r="B462" s="9" t="n">
        <v>45577</v>
      </c>
      <c r="C462" s="1" t="s">
        <v>15</v>
      </c>
      <c r="D462" s="1" t="s">
        <v>27</v>
      </c>
      <c r="E462" s="1" t="s">
        <v>28</v>
      </c>
      <c r="F462" s="1" t="n">
        <v>2391.67</v>
      </c>
      <c r="G462" s="1" t="n">
        <v>9</v>
      </c>
      <c r="H462" s="1" t="n">
        <v>-349.84</v>
      </c>
    </row>
    <row r="463" customFormat="false" ht="15" hidden="false" customHeight="true" outlineLevel="0" collapsed="false">
      <c r="A463" s="1" t="s">
        <v>494</v>
      </c>
      <c r="B463" s="9" t="n">
        <v>45578</v>
      </c>
      <c r="C463" s="1" t="s">
        <v>34</v>
      </c>
      <c r="D463" s="1" t="s">
        <v>22</v>
      </c>
      <c r="E463" s="1" t="s">
        <v>23</v>
      </c>
      <c r="F463" s="1" t="n">
        <v>1785.07</v>
      </c>
      <c r="G463" s="1" t="n">
        <v>5</v>
      </c>
      <c r="H463" s="1" t="n">
        <v>779.72</v>
      </c>
    </row>
    <row r="464" customFormat="false" ht="15" hidden="false" customHeight="true" outlineLevel="0" collapsed="false">
      <c r="A464" s="1" t="s">
        <v>495</v>
      </c>
      <c r="B464" s="9" t="n">
        <v>45578</v>
      </c>
      <c r="C464" s="1" t="s">
        <v>19</v>
      </c>
      <c r="D464" s="1" t="s">
        <v>22</v>
      </c>
      <c r="E464" s="1" t="s">
        <v>23</v>
      </c>
      <c r="F464" s="1" t="n">
        <v>829.82</v>
      </c>
      <c r="G464" s="1" t="n">
        <v>8</v>
      </c>
      <c r="H464" s="1" t="n">
        <v>123.9</v>
      </c>
    </row>
    <row r="465" customFormat="false" ht="15" hidden="false" customHeight="true" outlineLevel="0" collapsed="false">
      <c r="A465" s="1" t="s">
        <v>496</v>
      </c>
      <c r="B465" s="9" t="n">
        <v>45581</v>
      </c>
      <c r="C465" s="1" t="s">
        <v>19</v>
      </c>
      <c r="D465" s="1" t="s">
        <v>27</v>
      </c>
      <c r="E465" s="1" t="s">
        <v>55</v>
      </c>
      <c r="F465" s="1" t="n">
        <v>1844.44</v>
      </c>
      <c r="G465" s="1" t="n">
        <v>1</v>
      </c>
      <c r="H465" s="1" t="n">
        <v>827.86</v>
      </c>
    </row>
    <row r="466" customFormat="false" ht="15" hidden="false" customHeight="true" outlineLevel="0" collapsed="false">
      <c r="A466" s="1" t="s">
        <v>497</v>
      </c>
      <c r="B466" s="9" t="n">
        <v>45582</v>
      </c>
      <c r="C466" s="1" t="s">
        <v>15</v>
      </c>
      <c r="D466" s="1" t="s">
        <v>22</v>
      </c>
      <c r="E466" s="1" t="s">
        <v>30</v>
      </c>
      <c r="F466" s="1" t="n">
        <v>1441.41</v>
      </c>
      <c r="G466" s="1" t="n">
        <v>7</v>
      </c>
      <c r="H466" s="1" t="n">
        <v>646.31</v>
      </c>
    </row>
    <row r="467" customFormat="false" ht="15" hidden="false" customHeight="true" outlineLevel="0" collapsed="false">
      <c r="A467" s="1" t="s">
        <v>498</v>
      </c>
      <c r="B467" s="9" t="n">
        <v>45583</v>
      </c>
      <c r="C467" s="1" t="s">
        <v>15</v>
      </c>
      <c r="D467" s="1" t="s">
        <v>22</v>
      </c>
      <c r="E467" s="1" t="s">
        <v>32</v>
      </c>
      <c r="F467" s="1" t="n">
        <v>92.82</v>
      </c>
      <c r="G467" s="1" t="n">
        <v>3</v>
      </c>
      <c r="H467" s="1" t="n">
        <v>30.27</v>
      </c>
    </row>
    <row r="468" customFormat="false" ht="15" hidden="false" customHeight="true" outlineLevel="0" collapsed="false">
      <c r="A468" s="1" t="s">
        <v>499</v>
      </c>
      <c r="B468" s="9" t="n">
        <v>45583</v>
      </c>
      <c r="C468" s="1" t="s">
        <v>19</v>
      </c>
      <c r="D468" s="1" t="s">
        <v>16</v>
      </c>
      <c r="E468" s="1" t="s">
        <v>17</v>
      </c>
      <c r="F468" s="1" t="n">
        <v>471.95</v>
      </c>
      <c r="G468" s="1" t="n">
        <v>6</v>
      </c>
      <c r="H468" s="1" t="n">
        <v>131.56</v>
      </c>
    </row>
    <row r="469" customFormat="false" ht="15" hidden="false" customHeight="true" outlineLevel="0" collapsed="false">
      <c r="A469" s="1" t="s">
        <v>500</v>
      </c>
      <c r="B469" s="9" t="n">
        <v>45584</v>
      </c>
      <c r="C469" s="1" t="s">
        <v>19</v>
      </c>
      <c r="D469" s="1" t="s">
        <v>16</v>
      </c>
      <c r="E469" s="1" t="s">
        <v>58</v>
      </c>
      <c r="F469" s="1" t="n">
        <v>1569.41</v>
      </c>
      <c r="G469" s="1" t="n">
        <v>3</v>
      </c>
      <c r="H469" s="1" t="n">
        <v>-23.37</v>
      </c>
    </row>
    <row r="470" customFormat="false" ht="15" hidden="false" customHeight="true" outlineLevel="0" collapsed="false">
      <c r="A470" s="1" t="s">
        <v>501</v>
      </c>
      <c r="B470" s="9" t="n">
        <v>45585</v>
      </c>
      <c r="C470" s="1" t="s">
        <v>34</v>
      </c>
      <c r="D470" s="1" t="s">
        <v>27</v>
      </c>
      <c r="E470" s="1" t="s">
        <v>28</v>
      </c>
      <c r="F470" s="1" t="n">
        <v>368.96</v>
      </c>
      <c r="G470" s="1" t="n">
        <v>5</v>
      </c>
      <c r="H470" s="1" t="n">
        <v>-40.07</v>
      </c>
    </row>
    <row r="471" customFormat="false" ht="15" hidden="false" customHeight="true" outlineLevel="0" collapsed="false">
      <c r="A471" s="1" t="s">
        <v>502</v>
      </c>
      <c r="B471" s="9" t="n">
        <v>45592</v>
      </c>
      <c r="C471" s="1" t="s">
        <v>34</v>
      </c>
      <c r="D471" s="1" t="s">
        <v>22</v>
      </c>
      <c r="E471" s="1" t="s">
        <v>25</v>
      </c>
      <c r="F471" s="1" t="n">
        <v>2172.78</v>
      </c>
      <c r="G471" s="1" t="n">
        <v>9</v>
      </c>
      <c r="H471" s="1" t="n">
        <v>682.57</v>
      </c>
    </row>
    <row r="472" customFormat="false" ht="15" hidden="false" customHeight="true" outlineLevel="0" collapsed="false">
      <c r="A472" s="1" t="s">
        <v>503</v>
      </c>
      <c r="B472" s="9" t="n">
        <v>45597</v>
      </c>
      <c r="C472" s="1" t="s">
        <v>34</v>
      </c>
      <c r="D472" s="1" t="s">
        <v>27</v>
      </c>
      <c r="E472" s="1" t="s">
        <v>39</v>
      </c>
      <c r="F472" s="1" t="n">
        <v>84.01</v>
      </c>
      <c r="G472" s="1" t="n">
        <v>4</v>
      </c>
      <c r="H472" s="1" t="n">
        <v>-13.05</v>
      </c>
    </row>
    <row r="473" customFormat="false" ht="15" hidden="false" customHeight="true" outlineLevel="0" collapsed="false">
      <c r="A473" s="1" t="s">
        <v>504</v>
      </c>
      <c r="B473" s="9" t="n">
        <v>45597</v>
      </c>
      <c r="C473" s="1" t="s">
        <v>15</v>
      </c>
      <c r="D473" s="1" t="s">
        <v>22</v>
      </c>
      <c r="E473" s="1" t="s">
        <v>25</v>
      </c>
      <c r="F473" s="1" t="n">
        <v>2123.16</v>
      </c>
      <c r="G473" s="1" t="n">
        <v>9</v>
      </c>
      <c r="H473" s="1" t="n">
        <v>717.57</v>
      </c>
    </row>
    <row r="474" customFormat="false" ht="15" hidden="false" customHeight="true" outlineLevel="0" collapsed="false">
      <c r="A474" s="1" t="s">
        <v>505</v>
      </c>
      <c r="B474" s="9" t="n">
        <v>45600</v>
      </c>
      <c r="C474" s="1" t="s">
        <v>41</v>
      </c>
      <c r="D474" s="1" t="s">
        <v>16</v>
      </c>
      <c r="E474" s="1" t="s">
        <v>58</v>
      </c>
      <c r="F474" s="1" t="n">
        <v>1831.76</v>
      </c>
      <c r="G474" s="1" t="n">
        <v>1</v>
      </c>
      <c r="H474" s="1" t="n">
        <v>431.57</v>
      </c>
    </row>
    <row r="475" customFormat="false" ht="15" hidden="false" customHeight="true" outlineLevel="0" collapsed="false">
      <c r="A475" s="1" t="s">
        <v>506</v>
      </c>
      <c r="B475" s="9" t="n">
        <v>45601</v>
      </c>
      <c r="C475" s="1" t="s">
        <v>15</v>
      </c>
      <c r="D475" s="1" t="s">
        <v>16</v>
      </c>
      <c r="E475" s="1" t="s">
        <v>71</v>
      </c>
      <c r="F475" s="1" t="n">
        <v>2012.94</v>
      </c>
      <c r="G475" s="1" t="n">
        <v>7</v>
      </c>
      <c r="H475" s="1" t="n">
        <v>208.63</v>
      </c>
    </row>
    <row r="476" customFormat="false" ht="15" hidden="false" customHeight="true" outlineLevel="0" collapsed="false">
      <c r="A476" s="1" t="s">
        <v>507</v>
      </c>
      <c r="B476" s="9" t="n">
        <v>45602</v>
      </c>
      <c r="C476" s="1" t="s">
        <v>15</v>
      </c>
      <c r="D476" s="1" t="s">
        <v>22</v>
      </c>
      <c r="E476" s="1" t="s">
        <v>25</v>
      </c>
      <c r="F476" s="1" t="n">
        <v>284.36</v>
      </c>
      <c r="G476" s="1" t="n">
        <v>9</v>
      </c>
      <c r="H476" s="1" t="n">
        <v>-56.13</v>
      </c>
    </row>
    <row r="477" customFormat="false" ht="15" hidden="false" customHeight="true" outlineLevel="0" collapsed="false">
      <c r="A477" s="1" t="s">
        <v>508</v>
      </c>
      <c r="B477" s="9" t="n">
        <v>45605</v>
      </c>
      <c r="C477" s="1" t="s">
        <v>19</v>
      </c>
      <c r="D477" s="1" t="s">
        <v>22</v>
      </c>
      <c r="E477" s="1" t="s">
        <v>25</v>
      </c>
      <c r="F477" s="1" t="n">
        <v>933.41</v>
      </c>
      <c r="G477" s="1" t="n">
        <v>8</v>
      </c>
      <c r="H477" s="1" t="n">
        <v>59.76</v>
      </c>
    </row>
    <row r="478" customFormat="false" ht="15" hidden="false" customHeight="true" outlineLevel="0" collapsed="false">
      <c r="A478" s="1" t="s">
        <v>509</v>
      </c>
      <c r="B478" s="9" t="n">
        <v>45606</v>
      </c>
      <c r="C478" s="1" t="s">
        <v>41</v>
      </c>
      <c r="D478" s="1" t="s">
        <v>22</v>
      </c>
      <c r="E478" s="1" t="s">
        <v>32</v>
      </c>
      <c r="F478" s="1" t="n">
        <v>474.92</v>
      </c>
      <c r="G478" s="1" t="n">
        <v>3</v>
      </c>
      <c r="H478" s="1" t="n">
        <v>140.47</v>
      </c>
    </row>
    <row r="479" customFormat="false" ht="15" hidden="false" customHeight="true" outlineLevel="0" collapsed="false">
      <c r="A479" s="1" t="s">
        <v>510</v>
      </c>
      <c r="B479" s="9" t="n">
        <v>45610</v>
      </c>
      <c r="C479" s="1" t="s">
        <v>15</v>
      </c>
      <c r="D479" s="1" t="s">
        <v>16</v>
      </c>
      <c r="E479" s="1" t="s">
        <v>17</v>
      </c>
      <c r="F479" s="1" t="n">
        <v>1266.36</v>
      </c>
      <c r="G479" s="1" t="n">
        <v>5</v>
      </c>
      <c r="H479" s="1" t="n">
        <v>36.81</v>
      </c>
    </row>
    <row r="480" customFormat="false" ht="15" hidden="false" customHeight="true" outlineLevel="0" collapsed="false">
      <c r="A480" s="1" t="s">
        <v>511</v>
      </c>
      <c r="B480" s="9" t="n">
        <v>45611</v>
      </c>
      <c r="C480" s="1" t="s">
        <v>15</v>
      </c>
      <c r="D480" s="1" t="s">
        <v>16</v>
      </c>
      <c r="E480" s="1" t="s">
        <v>58</v>
      </c>
      <c r="F480" s="1" t="n">
        <v>2367.66</v>
      </c>
      <c r="G480" s="1" t="n">
        <v>2</v>
      </c>
      <c r="H480" s="1" t="n">
        <v>336.51</v>
      </c>
    </row>
    <row r="481" customFormat="false" ht="15" hidden="false" customHeight="true" outlineLevel="0" collapsed="false">
      <c r="A481" s="1" t="s">
        <v>512</v>
      </c>
      <c r="B481" s="9" t="n">
        <v>45612</v>
      </c>
      <c r="C481" s="1" t="s">
        <v>19</v>
      </c>
      <c r="D481" s="1" t="s">
        <v>22</v>
      </c>
      <c r="E481" s="1" t="s">
        <v>30</v>
      </c>
      <c r="F481" s="1" t="n">
        <v>2324.49</v>
      </c>
      <c r="G481" s="1" t="n">
        <v>7</v>
      </c>
      <c r="H481" s="1" t="n">
        <v>78.04</v>
      </c>
    </row>
    <row r="482" customFormat="false" ht="15" hidden="false" customHeight="true" outlineLevel="0" collapsed="false">
      <c r="A482" s="1" t="s">
        <v>513</v>
      </c>
      <c r="B482" s="9" t="n">
        <v>45613</v>
      </c>
      <c r="C482" s="1" t="s">
        <v>19</v>
      </c>
      <c r="D482" s="1" t="s">
        <v>22</v>
      </c>
      <c r="E482" s="1" t="s">
        <v>23</v>
      </c>
      <c r="F482" s="1" t="n">
        <v>1636.07</v>
      </c>
      <c r="G482" s="1" t="n">
        <v>5</v>
      </c>
      <c r="H482" s="1" t="n">
        <v>436.86</v>
      </c>
    </row>
    <row r="483" customFormat="false" ht="15" hidden="false" customHeight="true" outlineLevel="0" collapsed="false">
      <c r="A483" s="1" t="s">
        <v>514</v>
      </c>
      <c r="B483" s="9" t="n">
        <v>45615</v>
      </c>
      <c r="C483" s="1" t="s">
        <v>34</v>
      </c>
      <c r="D483" s="1" t="s">
        <v>22</v>
      </c>
      <c r="E483" s="1" t="s">
        <v>32</v>
      </c>
      <c r="F483" s="1" t="n">
        <v>702.95</v>
      </c>
      <c r="G483" s="1" t="n">
        <v>2</v>
      </c>
      <c r="H483" s="1" t="n">
        <v>-25.01</v>
      </c>
    </row>
    <row r="484" customFormat="false" ht="15" hidden="false" customHeight="true" outlineLevel="0" collapsed="false">
      <c r="A484" s="1" t="s">
        <v>515</v>
      </c>
      <c r="B484" s="9" t="n">
        <v>45620</v>
      </c>
      <c r="C484" s="1" t="s">
        <v>15</v>
      </c>
      <c r="D484" s="1" t="s">
        <v>27</v>
      </c>
      <c r="E484" s="1" t="s">
        <v>55</v>
      </c>
      <c r="F484" s="1" t="n">
        <v>305.03</v>
      </c>
      <c r="G484" s="1" t="n">
        <v>2</v>
      </c>
      <c r="H484" s="1" t="n">
        <v>-56.22</v>
      </c>
    </row>
    <row r="485" customFormat="false" ht="15" hidden="false" customHeight="true" outlineLevel="0" collapsed="false">
      <c r="A485" s="1" t="s">
        <v>516</v>
      </c>
      <c r="B485" s="9" t="n">
        <v>45624</v>
      </c>
      <c r="C485" s="1" t="s">
        <v>41</v>
      </c>
      <c r="D485" s="1" t="s">
        <v>22</v>
      </c>
      <c r="E485" s="1" t="s">
        <v>25</v>
      </c>
      <c r="F485" s="1" t="n">
        <v>1368.01</v>
      </c>
      <c r="G485" s="1" t="n">
        <v>6</v>
      </c>
      <c r="H485" s="1" t="n">
        <v>526.04</v>
      </c>
    </row>
    <row r="486" customFormat="false" ht="15" hidden="false" customHeight="true" outlineLevel="0" collapsed="false">
      <c r="A486" s="1" t="s">
        <v>517</v>
      </c>
      <c r="B486" s="9" t="n">
        <v>45624</v>
      </c>
      <c r="C486" s="1" t="s">
        <v>15</v>
      </c>
      <c r="D486" s="1" t="s">
        <v>27</v>
      </c>
      <c r="E486" s="1" t="s">
        <v>39</v>
      </c>
      <c r="F486" s="1" t="n">
        <v>1848.76</v>
      </c>
      <c r="G486" s="1" t="n">
        <v>1</v>
      </c>
      <c r="H486" s="1" t="n">
        <v>-226.29</v>
      </c>
    </row>
    <row r="487" customFormat="false" ht="15" hidden="false" customHeight="true" outlineLevel="0" collapsed="false">
      <c r="A487" s="1" t="s">
        <v>518</v>
      </c>
      <c r="B487" s="9" t="n">
        <v>45624</v>
      </c>
      <c r="C487" s="1" t="s">
        <v>15</v>
      </c>
      <c r="D487" s="1" t="s">
        <v>22</v>
      </c>
      <c r="E487" s="1" t="s">
        <v>23</v>
      </c>
      <c r="F487" s="1" t="n">
        <v>1748.6</v>
      </c>
      <c r="G487" s="1" t="n">
        <v>7</v>
      </c>
      <c r="H487" s="1" t="n">
        <v>422.7</v>
      </c>
    </row>
    <row r="488" customFormat="false" ht="15" hidden="false" customHeight="true" outlineLevel="0" collapsed="false">
      <c r="A488" s="1" t="s">
        <v>519</v>
      </c>
      <c r="B488" s="9" t="n">
        <v>45624</v>
      </c>
      <c r="C488" s="1" t="s">
        <v>15</v>
      </c>
      <c r="D488" s="1" t="s">
        <v>22</v>
      </c>
      <c r="E488" s="1" t="s">
        <v>23</v>
      </c>
      <c r="F488" s="1" t="n">
        <v>2366.56</v>
      </c>
      <c r="G488" s="1" t="n">
        <v>5</v>
      </c>
      <c r="H488" s="1" t="n">
        <v>702.65</v>
      </c>
    </row>
    <row r="489" customFormat="false" ht="15" hidden="false" customHeight="true" outlineLevel="0" collapsed="false">
      <c r="A489" s="1" t="s">
        <v>520</v>
      </c>
      <c r="B489" s="9" t="n">
        <v>45624</v>
      </c>
      <c r="C489" s="1" t="s">
        <v>19</v>
      </c>
      <c r="D489" s="1" t="s">
        <v>27</v>
      </c>
      <c r="E489" s="1" t="s">
        <v>28</v>
      </c>
      <c r="F489" s="1" t="n">
        <v>2476.05</v>
      </c>
      <c r="G489" s="1" t="n">
        <v>4</v>
      </c>
      <c r="H489" s="1" t="n">
        <v>-618.6</v>
      </c>
    </row>
    <row r="490" customFormat="false" ht="15" hidden="false" customHeight="true" outlineLevel="0" collapsed="false">
      <c r="A490" s="1" t="s">
        <v>521</v>
      </c>
      <c r="B490" s="9" t="n">
        <v>45631</v>
      </c>
      <c r="C490" s="1" t="s">
        <v>41</v>
      </c>
      <c r="D490" s="1" t="s">
        <v>16</v>
      </c>
      <c r="E490" s="1" t="s">
        <v>71</v>
      </c>
      <c r="F490" s="1" t="n">
        <v>661.55</v>
      </c>
      <c r="G490" s="1" t="n">
        <v>1</v>
      </c>
      <c r="H490" s="1" t="n">
        <v>-75.95</v>
      </c>
    </row>
    <row r="491" customFormat="false" ht="15" hidden="false" customHeight="true" outlineLevel="0" collapsed="false">
      <c r="A491" s="1" t="s">
        <v>522</v>
      </c>
      <c r="B491" s="9" t="n">
        <v>45633</v>
      </c>
      <c r="C491" s="1" t="s">
        <v>41</v>
      </c>
      <c r="D491" s="1" t="s">
        <v>16</v>
      </c>
      <c r="E491" s="1" t="s">
        <v>71</v>
      </c>
      <c r="F491" s="1" t="n">
        <v>1565.78</v>
      </c>
      <c r="G491" s="1" t="n">
        <v>7</v>
      </c>
      <c r="H491" s="1" t="n">
        <v>-28.77</v>
      </c>
    </row>
    <row r="492" customFormat="false" ht="15" hidden="false" customHeight="true" outlineLevel="0" collapsed="false">
      <c r="A492" s="1" t="s">
        <v>523</v>
      </c>
      <c r="B492" s="9" t="n">
        <v>45633</v>
      </c>
      <c r="C492" s="1" t="s">
        <v>41</v>
      </c>
      <c r="D492" s="1" t="s">
        <v>22</v>
      </c>
      <c r="E492" s="1" t="s">
        <v>30</v>
      </c>
      <c r="F492" s="1" t="n">
        <v>1442.35</v>
      </c>
      <c r="G492" s="1" t="n">
        <v>9</v>
      </c>
      <c r="H492" s="1" t="n">
        <v>604.68</v>
      </c>
    </row>
    <row r="493" customFormat="false" ht="15" hidden="false" customHeight="true" outlineLevel="0" collapsed="false">
      <c r="A493" s="1" t="s">
        <v>524</v>
      </c>
      <c r="B493" s="9" t="n">
        <v>45634</v>
      </c>
      <c r="C493" s="1" t="s">
        <v>19</v>
      </c>
      <c r="D493" s="1" t="s">
        <v>22</v>
      </c>
      <c r="E493" s="1" t="s">
        <v>32</v>
      </c>
      <c r="F493" s="1" t="n">
        <v>2266.61</v>
      </c>
      <c r="G493" s="1" t="n">
        <v>5</v>
      </c>
      <c r="H493" s="1" t="n">
        <v>654.96</v>
      </c>
    </row>
    <row r="494" customFormat="false" ht="15" hidden="false" customHeight="true" outlineLevel="0" collapsed="false">
      <c r="A494" s="1" t="s">
        <v>525</v>
      </c>
      <c r="B494" s="9" t="n">
        <v>45638</v>
      </c>
      <c r="C494" s="1" t="s">
        <v>34</v>
      </c>
      <c r="D494" s="1" t="s">
        <v>16</v>
      </c>
      <c r="E494" s="1" t="s">
        <v>17</v>
      </c>
      <c r="F494" s="1" t="n">
        <v>1697.75</v>
      </c>
      <c r="G494" s="1" t="n">
        <v>5</v>
      </c>
      <c r="H494" s="1" t="n">
        <v>-168.12</v>
      </c>
    </row>
    <row r="495" customFormat="false" ht="15" hidden="false" customHeight="true" outlineLevel="0" collapsed="false">
      <c r="A495" s="1" t="s">
        <v>526</v>
      </c>
      <c r="B495" s="9" t="n">
        <v>45638</v>
      </c>
      <c r="C495" s="1" t="s">
        <v>34</v>
      </c>
      <c r="D495" s="1" t="s">
        <v>22</v>
      </c>
      <c r="E495" s="1" t="s">
        <v>30</v>
      </c>
      <c r="F495" s="1" t="n">
        <v>335.11</v>
      </c>
      <c r="G495" s="1" t="n">
        <v>5</v>
      </c>
      <c r="H495" s="1" t="n">
        <v>38.73</v>
      </c>
    </row>
    <row r="496" customFormat="false" ht="15" hidden="false" customHeight="true" outlineLevel="0" collapsed="false">
      <c r="A496" s="1" t="s">
        <v>527</v>
      </c>
      <c r="B496" s="9" t="n">
        <v>45644</v>
      </c>
      <c r="C496" s="1" t="s">
        <v>41</v>
      </c>
      <c r="D496" s="1" t="s">
        <v>22</v>
      </c>
      <c r="E496" s="1" t="s">
        <v>30</v>
      </c>
      <c r="F496" s="1" t="n">
        <v>1390.2</v>
      </c>
      <c r="G496" s="1" t="n">
        <v>8</v>
      </c>
      <c r="H496" s="1" t="n">
        <v>158.65</v>
      </c>
    </row>
    <row r="497" customFormat="false" ht="15" hidden="false" customHeight="true" outlineLevel="0" collapsed="false">
      <c r="A497" s="1" t="s">
        <v>528</v>
      </c>
      <c r="B497" s="9" t="n">
        <v>45644</v>
      </c>
      <c r="C497" s="1" t="s">
        <v>34</v>
      </c>
      <c r="D497" s="1" t="s">
        <v>16</v>
      </c>
      <c r="E497" s="1" t="s">
        <v>71</v>
      </c>
      <c r="F497" s="1" t="n">
        <v>742.04</v>
      </c>
      <c r="G497" s="1" t="n">
        <v>8</v>
      </c>
      <c r="H497" s="1" t="n">
        <v>-77.94</v>
      </c>
    </row>
    <row r="498" customFormat="false" ht="15" hidden="false" customHeight="true" outlineLevel="0" collapsed="false">
      <c r="A498" s="1" t="s">
        <v>529</v>
      </c>
      <c r="B498" s="9" t="n">
        <v>45648</v>
      </c>
      <c r="C498" s="1" t="s">
        <v>41</v>
      </c>
      <c r="D498" s="1" t="s">
        <v>22</v>
      </c>
      <c r="E498" s="1" t="s">
        <v>30</v>
      </c>
      <c r="F498" s="1" t="n">
        <v>2146.75</v>
      </c>
      <c r="G498" s="1" t="n">
        <v>8</v>
      </c>
      <c r="H498" s="1" t="n">
        <v>840.76</v>
      </c>
    </row>
    <row r="499" customFormat="false" ht="15" hidden="false" customHeight="true" outlineLevel="0" collapsed="false">
      <c r="A499" s="1" t="s">
        <v>530</v>
      </c>
      <c r="B499" s="9" t="n">
        <v>45648</v>
      </c>
      <c r="C499" s="1" t="s">
        <v>15</v>
      </c>
      <c r="D499" s="1" t="s">
        <v>16</v>
      </c>
      <c r="E499" s="1" t="s">
        <v>58</v>
      </c>
      <c r="F499" s="1" t="n">
        <v>2016.17</v>
      </c>
      <c r="G499" s="1" t="n">
        <v>7</v>
      </c>
      <c r="H499" s="1" t="n">
        <v>-478.63</v>
      </c>
    </row>
    <row r="500" customFormat="false" ht="15" hidden="false" customHeight="true" outlineLevel="0" collapsed="false">
      <c r="A500" s="1" t="s">
        <v>531</v>
      </c>
      <c r="B500" s="9" t="n">
        <v>45651</v>
      </c>
      <c r="C500" s="1" t="s">
        <v>15</v>
      </c>
      <c r="D500" s="1" t="s">
        <v>22</v>
      </c>
      <c r="E500" s="1" t="s">
        <v>23</v>
      </c>
      <c r="F500" s="1" t="n">
        <v>2041.49</v>
      </c>
      <c r="G500" s="1" t="n">
        <v>9</v>
      </c>
      <c r="H500" s="1" t="n">
        <v>368.46</v>
      </c>
    </row>
    <row r="501" customFormat="false" ht="15" hidden="false" customHeight="true" outlineLevel="0" collapsed="false">
      <c r="A501" s="1" t="s">
        <v>532</v>
      </c>
      <c r="B501" s="9" t="n">
        <v>45655</v>
      </c>
      <c r="C501" s="1" t="s">
        <v>34</v>
      </c>
      <c r="D501" s="1" t="s">
        <v>16</v>
      </c>
      <c r="E501" s="1" t="s">
        <v>71</v>
      </c>
      <c r="F501" s="1" t="n">
        <v>2369.18</v>
      </c>
      <c r="G501" s="1" t="n">
        <v>3</v>
      </c>
      <c r="H501" s="1" t="n">
        <v>1042.91</v>
      </c>
    </row>
  </sheetData>
  <conditionalFormatting sqref="F2:F50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501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  <cfRule type="cellIs" priority="4" operator="lessThan" aboveAverage="0" equalAverage="0" bottom="0" percent="0" rank="0" text="" dxfId="51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16"/>
  </cols>
  <sheetData>
    <row r="1" customFormat="false" ht="15.75" hidden="false" customHeight="true" outlineLevel="0" collapsed="false">
      <c r="A1" s="10" t="s">
        <v>533</v>
      </c>
    </row>
    <row r="3" customFormat="false" ht="15" hidden="false" customHeight="true" outlineLevel="0" collapsed="false">
      <c r="A3" s="8" t="s">
        <v>9</v>
      </c>
      <c r="B3" s="8" t="s">
        <v>2</v>
      </c>
      <c r="C3" s="8" t="s">
        <v>3</v>
      </c>
      <c r="D3" s="8" t="s">
        <v>534</v>
      </c>
    </row>
    <row r="4" customFormat="false" ht="15" hidden="false" customHeight="true" outlineLevel="0" collapsed="false">
      <c r="A4" s="1" t="s">
        <v>27</v>
      </c>
      <c r="B4" s="11" t="n">
        <f aca="false">SUMIF(SalesData[Category],A4,SalesData[Sales])</f>
        <v>184849.71</v>
      </c>
      <c r="C4" s="11" t="n">
        <f aca="false">SUMIF(SalesData[Category],A4,SalesData[Profit])</f>
        <v>16699.32</v>
      </c>
      <c r="D4" s="12" t="n">
        <f aca="false">C4/B4</f>
        <v>0.0903399848449857</v>
      </c>
    </row>
    <row r="5" customFormat="false" ht="15" hidden="false" customHeight="true" outlineLevel="0" collapsed="false">
      <c r="A5" s="1" t="s">
        <v>22</v>
      </c>
      <c r="B5" s="11" t="n">
        <f aca="false">SUMIF(SalesData[Category],A5,SalesData[Sales])</f>
        <v>276614.25</v>
      </c>
      <c r="C5" s="11" t="n">
        <f aca="false">SUMIF(SalesData[Category],A5,SalesData[Profit])</f>
        <v>28834.54</v>
      </c>
      <c r="D5" s="12" t="n">
        <f aca="false">C5/B5</f>
        <v>0.104240978185325</v>
      </c>
    </row>
    <row r="6" customFormat="false" ht="15" hidden="false" customHeight="true" outlineLevel="0" collapsed="false">
      <c r="A6" s="1" t="s">
        <v>16</v>
      </c>
      <c r="B6" s="11" t="n">
        <f aca="false">SUMIF(SalesData[Category],A6,SalesData[Sales])</f>
        <v>179046</v>
      </c>
      <c r="C6" s="11" t="n">
        <f aca="false">SUMIF(SalesData[Category],A6,SalesData[Profit])</f>
        <v>19479.78</v>
      </c>
      <c r="D6" s="12" t="n">
        <f aca="false">C6/B6</f>
        <v>0.108797627425354</v>
      </c>
    </row>
    <row r="8" customFormat="false" ht="15.75" hidden="false" customHeight="true" outlineLevel="0" collapsed="false">
      <c r="A8" s="10" t="s">
        <v>535</v>
      </c>
    </row>
    <row r="9" customFormat="false" ht="15" hidden="false" customHeight="true" outlineLevel="0" collapsed="false">
      <c r="A9" s="8" t="s">
        <v>536</v>
      </c>
      <c r="B9" s="8" t="s">
        <v>2</v>
      </c>
      <c r="C9" s="8"/>
      <c r="D9" s="8"/>
    </row>
    <row r="10" customFormat="false" ht="15" hidden="false" customHeight="true" outlineLevel="0" collapsed="false">
      <c r="A10" s="1" t="s">
        <v>537</v>
      </c>
      <c r="B10" s="11" t="n">
        <f aca="false">SUMPRODUCT((TEXT(SalesData[Order Date],"yyyy-mm")=A10)*SalesData[Sales])</f>
        <v>17095.26</v>
      </c>
    </row>
    <row r="11" customFormat="false" ht="15" hidden="false" customHeight="true" outlineLevel="0" collapsed="false">
      <c r="A11" s="1" t="s">
        <v>538</v>
      </c>
      <c r="B11" s="11" t="n">
        <f aca="false">SUMPRODUCT((TEXT(SalesData[Order Date],"yyyy-mm")=A11)*SalesData[Sales])</f>
        <v>11628.88</v>
      </c>
    </row>
    <row r="12" customFormat="false" ht="15" hidden="false" customHeight="true" outlineLevel="0" collapsed="false">
      <c r="A12" s="1" t="s">
        <v>539</v>
      </c>
      <c r="B12" s="11" t="n">
        <f aca="false">SUMPRODUCT((TEXT(SalesData[Order Date],"yyyy-mm")=A12)*SalesData[Sales])</f>
        <v>16010.73</v>
      </c>
    </row>
    <row r="13" customFormat="false" ht="15" hidden="false" customHeight="true" outlineLevel="0" collapsed="false">
      <c r="A13" s="1" t="s">
        <v>540</v>
      </c>
      <c r="B13" s="11" t="n">
        <f aca="false">SUMPRODUCT((TEXT(SalesData[Order Date],"yyyy-mm")=A13)*SalesData[Sales])</f>
        <v>10487.67</v>
      </c>
    </row>
    <row r="14" customFormat="false" ht="15" hidden="false" customHeight="true" outlineLevel="0" collapsed="false">
      <c r="A14" s="1" t="s">
        <v>541</v>
      </c>
      <c r="B14" s="11" t="n">
        <f aca="false">SUMPRODUCT((TEXT(SalesData[Order Date],"yyyy-mm")=A14)*SalesData[Sales])</f>
        <v>13334.02</v>
      </c>
    </row>
    <row r="15" customFormat="false" ht="15" hidden="false" customHeight="true" outlineLevel="0" collapsed="false">
      <c r="A15" s="1" t="s">
        <v>542</v>
      </c>
      <c r="B15" s="11" t="n">
        <f aca="false">SUMPRODUCT((TEXT(SalesData[Order Date],"yyyy-mm")=A15)*SalesData[Sales])</f>
        <v>18530.48</v>
      </c>
    </row>
    <row r="16" customFormat="false" ht="15" hidden="false" customHeight="true" outlineLevel="0" collapsed="false">
      <c r="A16" s="1" t="s">
        <v>543</v>
      </c>
      <c r="B16" s="11" t="n">
        <f aca="false">SUMPRODUCT((TEXT(SalesData[Order Date],"yyyy-mm")=A16)*SalesData[Sales])</f>
        <v>12970.86</v>
      </c>
    </row>
    <row r="17" customFormat="false" ht="15" hidden="false" customHeight="true" outlineLevel="0" collapsed="false">
      <c r="A17" s="1" t="s">
        <v>544</v>
      </c>
      <c r="B17" s="11" t="n">
        <f aca="false">SUMPRODUCT((TEXT(SalesData[Order Date],"yyyy-mm")=A17)*SalesData[Sales])</f>
        <v>19393.35</v>
      </c>
    </row>
    <row r="18" customFormat="false" ht="15" hidden="false" customHeight="true" outlineLevel="0" collapsed="false">
      <c r="A18" s="1" t="s">
        <v>545</v>
      </c>
      <c r="B18" s="11" t="n">
        <f aca="false">SUMPRODUCT((TEXT(SalesData[Order Date],"yyyy-mm")=A18)*SalesData[Sales])</f>
        <v>13173.89</v>
      </c>
    </row>
    <row r="19" customFormat="false" ht="15" hidden="false" customHeight="true" outlineLevel="0" collapsed="false">
      <c r="A19" s="1" t="s">
        <v>546</v>
      </c>
      <c r="B19" s="11" t="n">
        <f aca="false">SUMPRODUCT((TEXT(SalesData[Order Date],"yyyy-mm")=A19)*SalesData[Sales])</f>
        <v>15542.18</v>
      </c>
    </row>
    <row r="20" customFormat="false" ht="15" hidden="false" customHeight="true" outlineLevel="0" collapsed="false">
      <c r="A20" s="1" t="s">
        <v>547</v>
      </c>
      <c r="B20" s="11" t="n">
        <f aca="false">SUMPRODUCT((TEXT(SalesData[Order Date],"yyyy-mm")=A20)*SalesData[Sales])</f>
        <v>16883.16</v>
      </c>
    </row>
    <row r="21" customFormat="false" ht="15" hidden="false" customHeight="true" outlineLevel="0" collapsed="false">
      <c r="A21" s="1" t="s">
        <v>548</v>
      </c>
      <c r="B21" s="11" t="n">
        <f aca="false">SUMPRODUCT((TEXT(SalesData[Order Date],"yyyy-mm")=A21)*SalesData[Sales])</f>
        <v>25903.78</v>
      </c>
    </row>
    <row r="22" customFormat="false" ht="15" hidden="false" customHeight="true" outlineLevel="0" collapsed="false">
      <c r="A22" s="1" t="s">
        <v>549</v>
      </c>
      <c r="B22" s="11" t="n">
        <f aca="false">SUMPRODUCT((TEXT(SalesData[Order Date],"yyyy-mm")=A22)*SalesData[Sales])</f>
        <v>7633.79</v>
      </c>
    </row>
    <row r="23" customFormat="false" ht="15" hidden="false" customHeight="true" outlineLevel="0" collapsed="false">
      <c r="A23" s="1" t="s">
        <v>550</v>
      </c>
      <c r="B23" s="11" t="n">
        <f aca="false">SUMPRODUCT((TEXT(SalesData[Order Date],"yyyy-mm")=A23)*SalesData[Sales])</f>
        <v>21795.45</v>
      </c>
    </row>
    <row r="24" customFormat="false" ht="15" hidden="false" customHeight="true" outlineLevel="0" collapsed="false">
      <c r="A24" s="1" t="s">
        <v>551</v>
      </c>
      <c r="B24" s="11" t="n">
        <f aca="false">SUMPRODUCT((TEXT(SalesData[Order Date],"yyyy-mm")=A24)*SalesData[Sales])</f>
        <v>11530.17</v>
      </c>
    </row>
    <row r="25" customFormat="false" ht="15" hidden="false" customHeight="true" outlineLevel="0" collapsed="false">
      <c r="A25" s="1" t="s">
        <v>552</v>
      </c>
      <c r="B25" s="11" t="n">
        <f aca="false">SUMPRODUCT((TEXT(SalesData[Order Date],"yyyy-mm")=A25)*SalesData[Sales])</f>
        <v>15456.11</v>
      </c>
    </row>
    <row r="26" customFormat="false" ht="15" hidden="false" customHeight="true" outlineLevel="0" collapsed="false">
      <c r="A26" s="1" t="s">
        <v>553</v>
      </c>
      <c r="B26" s="11" t="n">
        <f aca="false">SUMPRODUCT((TEXT(SalesData[Order Date],"yyyy-mm")=A26)*SalesData[Sales])</f>
        <v>20935.84</v>
      </c>
    </row>
    <row r="27" customFormat="false" ht="15" hidden="false" customHeight="true" outlineLevel="0" collapsed="false">
      <c r="A27" s="1" t="s">
        <v>554</v>
      </c>
      <c r="B27" s="11" t="n">
        <f aca="false">SUMPRODUCT((TEXT(SalesData[Order Date],"yyyy-mm")=A27)*SalesData[Sales])</f>
        <v>15858.79</v>
      </c>
    </row>
    <row r="28" customFormat="false" ht="15" hidden="false" customHeight="true" outlineLevel="0" collapsed="false">
      <c r="A28" s="1" t="s">
        <v>555</v>
      </c>
      <c r="B28" s="11" t="n">
        <f aca="false">SUMPRODUCT((TEXT(SalesData[Order Date],"yyyy-mm")=A28)*SalesData[Sales])</f>
        <v>15513.77</v>
      </c>
    </row>
    <row r="29" customFormat="false" ht="15" hidden="false" customHeight="true" outlineLevel="0" collapsed="false">
      <c r="A29" s="1" t="s">
        <v>556</v>
      </c>
      <c r="B29" s="11" t="n">
        <f aca="false">SUMPRODUCT((TEXT(SalesData[Order Date],"yyyy-mm")=A29)*SalesData[Sales])</f>
        <v>23874.77</v>
      </c>
    </row>
    <row r="30" customFormat="false" ht="15" hidden="false" customHeight="true" outlineLevel="0" collapsed="false">
      <c r="A30" s="1" t="s">
        <v>557</v>
      </c>
      <c r="B30" s="11" t="n">
        <f aca="false">SUMPRODUCT((TEXT(SalesData[Order Date],"yyyy-mm")=A30)*SalesData[Sales])</f>
        <v>15710.4</v>
      </c>
    </row>
    <row r="31" customFormat="false" ht="15" hidden="false" customHeight="true" outlineLevel="0" collapsed="false">
      <c r="A31" s="1" t="s">
        <v>558</v>
      </c>
      <c r="B31" s="11" t="n">
        <f aca="false">SUMPRODUCT((TEXT(SalesData[Order Date],"yyyy-mm")=A31)*SalesData[Sales])</f>
        <v>28653.73</v>
      </c>
    </row>
    <row r="32" customFormat="false" ht="15" hidden="false" customHeight="true" outlineLevel="0" collapsed="false">
      <c r="A32" s="1" t="s">
        <v>559</v>
      </c>
      <c r="B32" s="11" t="n">
        <f aca="false">SUMPRODUCT((TEXT(SalesData[Order Date],"yyyy-mm")=A32)*SalesData[Sales])</f>
        <v>11750.88</v>
      </c>
    </row>
    <row r="33" customFormat="false" ht="15" hidden="false" customHeight="true" outlineLevel="0" collapsed="false">
      <c r="A33" s="1" t="s">
        <v>560</v>
      </c>
      <c r="B33" s="11" t="n">
        <f aca="false">SUMPRODUCT((TEXT(SalesData[Order Date],"yyyy-mm")=A33)*SalesData[Sales])</f>
        <v>13138.92</v>
      </c>
    </row>
    <row r="34" customFormat="false" ht="15" hidden="false" customHeight="true" outlineLevel="0" collapsed="false">
      <c r="A34" s="1" t="s">
        <v>561</v>
      </c>
      <c r="B34" s="11" t="n">
        <f aca="false">SUMPRODUCT((TEXT(SalesData[Order Date],"yyyy-mm")=A34)*SalesData[Sales])</f>
        <v>16703.2</v>
      </c>
    </row>
    <row r="35" customFormat="false" ht="15" hidden="false" customHeight="true" outlineLevel="0" collapsed="false">
      <c r="A35" s="1" t="s">
        <v>562</v>
      </c>
      <c r="B35" s="11" t="n">
        <f aca="false">SUMPRODUCT((TEXT(SalesData[Order Date],"yyyy-mm")=A35)*SalesData[Sales])</f>
        <v>27210.97</v>
      </c>
    </row>
    <row r="36" customFormat="false" ht="15" hidden="false" customHeight="true" outlineLevel="0" collapsed="false">
      <c r="A36" s="1" t="s">
        <v>563</v>
      </c>
      <c r="B36" s="11" t="n">
        <f aca="false">SUMPRODUCT((TEXT(SalesData[Order Date],"yyyy-mm")=A36)*SalesData[Sales])</f>
        <v>20114.74</v>
      </c>
    </row>
    <row r="37" customFormat="false" ht="15" hidden="false" customHeight="true" outlineLevel="0" collapsed="false">
      <c r="A37" s="1" t="s">
        <v>564</v>
      </c>
      <c r="B37" s="11" t="n">
        <f aca="false">SUMPRODUCT((TEXT(SalesData[Order Date],"yyyy-mm")=A37)*SalesData[Sales])</f>
        <v>20073.59</v>
      </c>
    </row>
    <row r="38" customFormat="false" ht="15" hidden="false" customHeight="true" outlineLevel="0" collapsed="false">
      <c r="A38" s="1" t="s">
        <v>565</v>
      </c>
      <c r="B38" s="11" t="n">
        <f aca="false">SUMPRODUCT((TEXT(SalesData[Order Date],"yyyy-mm")=A38)*SalesData[Sales])</f>
        <v>23772.5</v>
      </c>
    </row>
    <row r="39" customFormat="false" ht="15" hidden="false" customHeight="true" outlineLevel="0" collapsed="false">
      <c r="A39" s="1" t="s">
        <v>566</v>
      </c>
      <c r="B39" s="11" t="n">
        <f aca="false">SUMPRODUCT((TEXT(SalesData[Order Date],"yyyy-mm")=A39)*SalesData[Sales])</f>
        <v>16677.2</v>
      </c>
    </row>
    <row r="40" customFormat="false" ht="15" hidden="false" customHeight="true" outlineLevel="0" collapsed="false">
      <c r="A40" s="1" t="s">
        <v>567</v>
      </c>
      <c r="B40" s="11" t="n">
        <f aca="false">SUMPRODUCT((TEXT(SalesData[Order Date],"yyyy-mm")=A40)*SalesData[Sales])</f>
        <v>14141.46</v>
      </c>
    </row>
    <row r="41" customFormat="false" ht="15" hidden="false" customHeight="true" outlineLevel="0" collapsed="false">
      <c r="A41" s="1" t="s">
        <v>568</v>
      </c>
      <c r="B41" s="11" t="n">
        <f aca="false">SUMPRODUCT((TEXT(SalesData[Order Date],"yyyy-mm")=A41)*SalesData[Sales])</f>
        <v>19215.67</v>
      </c>
    </row>
    <row r="42" customFormat="false" ht="15" hidden="false" customHeight="true" outlineLevel="0" collapsed="false">
      <c r="A42" s="1" t="s">
        <v>569</v>
      </c>
      <c r="B42" s="11" t="n">
        <f aca="false">SUMPRODUCT((TEXT(SalesData[Order Date],"yyyy-mm")=A42)*SalesData[Sales])</f>
        <v>21536.76</v>
      </c>
    </row>
    <row r="43" customFormat="false" ht="15" hidden="false" customHeight="true" outlineLevel="0" collapsed="false">
      <c r="A43" s="1" t="s">
        <v>570</v>
      </c>
      <c r="B43" s="11" t="n">
        <f aca="false">SUMPRODUCT((TEXT(SalesData[Order Date],"yyyy-mm")=A43)*SalesData[Sales])</f>
        <v>23426.91</v>
      </c>
    </row>
    <row r="44" customFormat="false" ht="15" hidden="false" customHeight="true" outlineLevel="0" collapsed="false">
      <c r="A44" s="1" t="s">
        <v>571</v>
      </c>
      <c r="B44" s="11" t="n">
        <f aca="false">SUMPRODUCT((TEXT(SalesData[Order Date],"yyyy-mm")=A44)*SalesData[Sales])</f>
        <v>26155.1</v>
      </c>
    </row>
    <row r="45" customFormat="false" ht="15" hidden="false" customHeight="true" outlineLevel="0" collapsed="false">
      <c r="A45" s="1" t="s">
        <v>572</v>
      </c>
      <c r="B45" s="11" t="n">
        <f aca="false">SUMPRODUCT((TEXT(SalesData[Order Date],"yyyy-mm")=A45)*SalesData[Sales])</f>
        <v>18674.98</v>
      </c>
    </row>
  </sheetData>
  <conditionalFormatting sqref="B4:B6">
    <cfRule type="colorScale" priority="2">
      <colorScale>
        <cfvo type="min" val="0"/>
        <cfvo type="max" val="0"/>
        <color rgb="FFF8696B"/>
        <color rgb="FF63BE7B"/>
      </colorScale>
    </cfRule>
  </conditionalFormatting>
  <conditionalFormatting sqref="C4:C6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2026-06-13T15:49:31Z</dcterms:created>
  <dc:creator>openpyxl</dc:creator>
  <dc:description/>
  <dc:language>en-US</dc:language>
  <cp:lastModifiedBy/>
  <dcterms:modified xsi:type="dcterms:W3CDTF">2026-06-13T16:02:54Z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